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938835AF-3972-4EFA-885E-44392797FCBD}" xr6:coauthVersionLast="47" xr6:coauthVersionMax="47" xr10:uidLastSave="{00000000-0000-0000-0000-000000000000}"/>
  <bookViews>
    <workbookView xWindow="-98" yWindow="-98" windowWidth="21795" windowHeight="12975" activeTab="2" xr2:uid="{E8C8D84F-FB0D-634C-B29A-0BC5FDDA81F1}"/>
  </bookViews>
  <sheets>
    <sheet name="About" sheetId="2" r:id="rId1"/>
    <sheet name="Challenges &amp; Goals" sheetId="3" r:id="rId2"/>
    <sheet name="Tracker"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24" i="1" l="1"/>
  <c r="CN24" i="1"/>
  <c r="CM24" i="1"/>
  <c r="CL24" i="1"/>
  <c r="CK24" i="1"/>
  <c r="CJ24" i="1"/>
  <c r="CI24" i="1"/>
  <c r="CH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CO19" i="1"/>
  <c r="CN19" i="1"/>
  <c r="CM19" i="1"/>
  <c r="CL19" i="1"/>
  <c r="CK19" i="1"/>
  <c r="CJ19" i="1"/>
  <c r="CI19" i="1"/>
  <c r="CH19"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CO14" i="1"/>
  <c r="CO25" i="1" s="1"/>
  <c r="CN14" i="1"/>
  <c r="CN25" i="1" s="1"/>
  <c r="CM14" i="1"/>
  <c r="CM25" i="1" s="1"/>
  <c r="CL14" i="1"/>
  <c r="CL25" i="1" s="1"/>
  <c r="CK14" i="1"/>
  <c r="CK25" i="1" s="1"/>
  <c r="CJ14" i="1"/>
  <c r="CJ25" i="1" s="1"/>
  <c r="CI14" i="1"/>
  <c r="CI25" i="1" s="1"/>
  <c r="CH14" i="1"/>
  <c r="CH25" i="1" s="1"/>
  <c r="CG14" i="1"/>
  <c r="CG25" i="1" s="1"/>
  <c r="CF14" i="1"/>
  <c r="CF25" i="1" s="1"/>
  <c r="CE14" i="1"/>
  <c r="CE25" i="1" s="1"/>
  <c r="CD14" i="1"/>
  <c r="CD25" i="1" s="1"/>
  <c r="CC14" i="1"/>
  <c r="CC25" i="1" s="1"/>
  <c r="CB14" i="1"/>
  <c r="CB25" i="1" s="1"/>
  <c r="CA14" i="1"/>
  <c r="CA25" i="1" s="1"/>
  <c r="BZ14" i="1"/>
  <c r="BZ25" i="1" s="1"/>
  <c r="BY14" i="1"/>
  <c r="BY25" i="1" s="1"/>
  <c r="BX14" i="1"/>
  <c r="BX25" i="1" s="1"/>
  <c r="BW14" i="1"/>
  <c r="BW25" i="1" s="1"/>
  <c r="BV14" i="1"/>
  <c r="BV25" i="1" s="1"/>
  <c r="BU14" i="1"/>
  <c r="BU25" i="1" s="1"/>
  <c r="BT14" i="1"/>
  <c r="BT25" i="1" s="1"/>
  <c r="BS14" i="1"/>
  <c r="BS25" i="1" s="1"/>
  <c r="BR14" i="1"/>
  <c r="BR25" i="1" s="1"/>
  <c r="BQ14" i="1"/>
  <c r="BQ25" i="1" s="1"/>
  <c r="BP14" i="1"/>
  <c r="BP25" i="1" s="1"/>
  <c r="BO14" i="1"/>
  <c r="BO25" i="1" s="1"/>
  <c r="BN14" i="1"/>
  <c r="BN25" i="1" s="1"/>
  <c r="BM14" i="1"/>
  <c r="BM25" i="1" s="1"/>
  <c r="BL14" i="1"/>
  <c r="BL25" i="1" s="1"/>
  <c r="BK14" i="1"/>
  <c r="BK25" i="1" s="1"/>
  <c r="BJ14" i="1"/>
  <c r="BJ25" i="1" s="1"/>
  <c r="BI14" i="1"/>
  <c r="BI25" i="1" s="1"/>
  <c r="BH14" i="1"/>
  <c r="BH25" i="1" s="1"/>
  <c r="BG14" i="1"/>
  <c r="BG25" i="1" s="1"/>
  <c r="BF14" i="1"/>
  <c r="BF25" i="1" s="1"/>
  <c r="BE14" i="1"/>
  <c r="BE25" i="1" s="1"/>
  <c r="BD14" i="1"/>
  <c r="BD25" i="1" s="1"/>
  <c r="BC14" i="1"/>
  <c r="BC25" i="1" s="1"/>
  <c r="BB14" i="1"/>
  <c r="BB25" i="1" s="1"/>
  <c r="BA14" i="1"/>
  <c r="BA25" i="1" s="1"/>
  <c r="AZ14" i="1"/>
  <c r="AZ25" i="1" s="1"/>
  <c r="AY14" i="1"/>
  <c r="AY25" i="1" s="1"/>
  <c r="AX14" i="1"/>
  <c r="AX25" i="1" s="1"/>
  <c r="AW14" i="1"/>
  <c r="AW25" i="1" s="1"/>
  <c r="AV14" i="1"/>
  <c r="AV25" i="1" s="1"/>
  <c r="AU14" i="1"/>
  <c r="AU25" i="1" s="1"/>
  <c r="AT14" i="1"/>
  <c r="AT25" i="1" s="1"/>
  <c r="AS14" i="1"/>
  <c r="AS25" i="1" s="1"/>
  <c r="AR14" i="1"/>
  <c r="AR25" i="1" s="1"/>
  <c r="AQ14" i="1"/>
  <c r="AQ25" i="1" s="1"/>
  <c r="AP14" i="1"/>
  <c r="AP25" i="1" s="1"/>
  <c r="AO14" i="1"/>
  <c r="AN14" i="1"/>
  <c r="AN25" i="1" s="1"/>
  <c r="AM14" i="1"/>
  <c r="AM25" i="1" s="1"/>
  <c r="AL14" i="1"/>
  <c r="AL25" i="1" s="1"/>
  <c r="AK14" i="1"/>
  <c r="AJ14" i="1"/>
  <c r="AJ25" i="1" s="1"/>
  <c r="AI14" i="1"/>
  <c r="AH14" i="1"/>
  <c r="AH25" i="1" s="1"/>
  <c r="AG14" i="1"/>
  <c r="AG25" i="1" s="1"/>
  <c r="AF14" i="1"/>
  <c r="AE14" i="1"/>
  <c r="AE25" i="1" s="1"/>
  <c r="AD14" i="1"/>
  <c r="AC14" i="1"/>
  <c r="AC25" i="1" s="1"/>
  <c r="AB14" i="1"/>
  <c r="AB25" i="1" s="1"/>
  <c r="AA14" i="1"/>
  <c r="AA25" i="1" s="1"/>
  <c r="Z14" i="1"/>
  <c r="Z25" i="1" s="1"/>
  <c r="Y14" i="1"/>
  <c r="Y25" i="1" s="1"/>
  <c r="X14" i="1"/>
  <c r="X25" i="1" s="1"/>
  <c r="W14" i="1"/>
  <c r="W25" i="1" s="1"/>
  <c r="V14" i="1"/>
  <c r="V25" i="1" s="1"/>
  <c r="U14" i="1"/>
  <c r="U25" i="1" s="1"/>
  <c r="T14" i="1"/>
  <c r="T25" i="1" s="1"/>
  <c r="S14" i="1"/>
  <c r="R14" i="1"/>
  <c r="R25" i="1" s="1"/>
  <c r="Q14" i="1"/>
  <c r="Q25" i="1" s="1"/>
  <c r="P14" i="1"/>
  <c r="O14" i="1"/>
  <c r="O25" i="1" s="1"/>
  <c r="N14" i="1"/>
  <c r="M14" i="1"/>
  <c r="M25" i="1" s="1"/>
  <c r="L14" i="1"/>
  <c r="L25" i="1" s="1"/>
  <c r="K14" i="1"/>
  <c r="K25" i="1" s="1"/>
  <c r="J14" i="1"/>
  <c r="I14" i="1"/>
  <c r="I25" i="1" s="1"/>
  <c r="H14" i="1"/>
  <c r="H25" i="1" s="1"/>
  <c r="G14" i="1"/>
  <c r="G25" i="1" s="1"/>
  <c r="F14" i="1"/>
  <c r="F25" i="1" s="1"/>
  <c r="E14" i="1"/>
  <c r="E25" i="1" s="1"/>
  <c r="D14" i="1"/>
  <c r="D25" i="1" s="1"/>
  <c r="C14" i="1"/>
  <c r="C25" i="1" s="1"/>
  <c r="CP23" i="1"/>
  <c r="CP21" i="1"/>
  <c r="CP20" i="1"/>
  <c r="CP18" i="1"/>
  <c r="CP16" i="1"/>
  <c r="CP15" i="1"/>
  <c r="CP13" i="1"/>
  <c r="CP11" i="1"/>
  <c r="CP10" i="1"/>
  <c r="C8" i="1"/>
  <c r="D8" i="1" s="1"/>
  <c r="E8" i="1" s="1"/>
  <c r="F8" i="1" s="1"/>
  <c r="G8" i="1" s="1"/>
  <c r="H8" i="1" s="1"/>
  <c r="I8" i="1" s="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K8" i="1" s="1"/>
  <c r="AL8" i="1" s="1"/>
  <c r="AM8" i="1" s="1"/>
  <c r="AN8" i="1" s="1"/>
  <c r="AO8" i="1" s="1"/>
  <c r="AP8" i="1" s="1"/>
  <c r="AQ8" i="1" s="1"/>
  <c r="AR8" i="1" s="1"/>
  <c r="AS8" i="1" s="1"/>
  <c r="AT8" i="1" s="1"/>
  <c r="AU8" i="1" s="1"/>
  <c r="AV8" i="1" s="1"/>
  <c r="AW8" i="1" s="1"/>
  <c r="AX8" i="1" s="1"/>
  <c r="AY8" i="1" s="1"/>
  <c r="AZ8" i="1" s="1"/>
  <c r="BA8" i="1" s="1"/>
  <c r="BB8" i="1" s="1"/>
  <c r="BC8" i="1" s="1"/>
  <c r="BD8" i="1" s="1"/>
  <c r="BE8" i="1" s="1"/>
  <c r="BF8" i="1" s="1"/>
  <c r="BG8" i="1" s="1"/>
  <c r="BH8" i="1" s="1"/>
  <c r="BI8" i="1" s="1"/>
  <c r="BJ8" i="1" s="1"/>
  <c r="BK8" i="1" s="1"/>
  <c r="BL8" i="1" s="1"/>
  <c r="BM8" i="1" s="1"/>
  <c r="BN8" i="1" s="1"/>
  <c r="BO8" i="1" s="1"/>
  <c r="BP8" i="1" s="1"/>
  <c r="BQ8" i="1" s="1"/>
  <c r="BR8" i="1" s="1"/>
  <c r="BS8" i="1" s="1"/>
  <c r="BT8" i="1" s="1"/>
  <c r="BU8" i="1" s="1"/>
  <c r="BV8" i="1" s="1"/>
  <c r="BW8" i="1" s="1"/>
  <c r="BX8" i="1" s="1"/>
  <c r="BY8" i="1" s="1"/>
  <c r="BZ8" i="1" s="1"/>
  <c r="CA8" i="1" s="1"/>
  <c r="CB8" i="1" s="1"/>
  <c r="CC8" i="1" s="1"/>
  <c r="CD8" i="1" s="1"/>
  <c r="CE8" i="1" s="1"/>
  <c r="CF8" i="1" s="1"/>
  <c r="CG8" i="1" s="1"/>
  <c r="CH8" i="1" s="1"/>
  <c r="CI8" i="1" s="1"/>
  <c r="CJ8" i="1" s="1"/>
  <c r="CK8" i="1" s="1"/>
  <c r="CL8" i="1" s="1"/>
  <c r="CM8" i="1" s="1"/>
  <c r="CN8" i="1" s="1"/>
  <c r="AO25" i="1" l="1"/>
  <c r="AK25" i="1"/>
  <c r="AI25" i="1"/>
  <c r="AF25" i="1"/>
  <c r="AD25" i="1"/>
  <c r="S25" i="1"/>
  <c r="CP24" i="1"/>
  <c r="P25" i="1"/>
  <c r="N25" i="1"/>
  <c r="J25" i="1"/>
  <c r="CP14" i="1"/>
  <c r="CP19" i="1"/>
  <c r="CP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tc={D2B9A3E4-A6EE-4FE9-AF1E-B45C8CBD5E63}</author>
    <author>tc={318F8462-DDF8-484D-BCCD-72F75C59B02D}</author>
    <author>tc={989E8D5E-71BC-471F-8ABF-33AA897EEA1F}</author>
  </authors>
  <commentList>
    <comment ref="B25" authorId="0" shapeId="0" xr:uid="{D2B9A3E4-A6EE-4FE9-AF1E-B45C8CBD5E63}">
      <text>
        <t>[Threaded comment]
Your version of Excel allows you to read this threaded comment; however, any edits to it will get removed if the file is opened in a newer version of Excel. Learn more: https://go.microsoft.com/fwlink/?linkid=870924
Comment:
    What do you want to achieve</t>
      </text>
    </comment>
    <comment ref="C25" authorId="1" shapeId="0" xr:uid="{318F8462-DDF8-484D-BCCD-72F75C59B02D}">
      <text>
        <t>[Threaded comment]
Your version of Excel allows you to read this threaded comment; however, any edits to it will get removed if the file is opened in a newer version of Excel. Learn more: https://go.microsoft.com/fwlink/?linkid=870924
Comment:
    Steps you will take to achieve your goal</t>
      </text>
    </comment>
    <comment ref="D25" authorId="2" shapeId="0" xr:uid="{989E8D5E-71BC-471F-8ABF-33AA897EEA1F}">
      <text>
        <t>[Threaded comment]
Your version of Excel allows you to read this threaded comment; however, any edits to it will get removed if the file is opened in a newer version of Excel. Learn more: https://go.microsoft.com/fwlink/?linkid=870924
Comment:
    What will indicate your success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tc={C50D122A-2B4E-3941-B1C5-542CE92F2565}</author>
  </authors>
  <commentList>
    <comment ref="C10" authorId="0" shapeId="0" xr:uid="{C50D122A-2B4E-3941-B1C5-542CE92F2565}">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List>
</comments>
</file>

<file path=xl/sharedStrings.xml><?xml version="1.0" encoding="utf-8"?>
<sst xmlns="http://schemas.openxmlformats.org/spreadsheetml/2006/main" count="175" uniqueCount="81">
  <si>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</si>
  <si>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</si>
  <si>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</si>
  <si>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</si>
  <si>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</si>
  <si>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</si>
  <si>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</si>
  <si>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</si>
  <si>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</si>
  <si>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</si>
  <si>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</si>
  <si>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</si>
  <si>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</si>
  <si>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</si>
  <si>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</si>
  <si>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</si>
  <si>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</si>
  <si>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</si>
  <si>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</si>
  <si>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</si>
  <si>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</si>
  <si>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</si>
  <si>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</si>
  <si>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</si>
  <si>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</si>
  <si>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</si>
  <si>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</si>
  <si>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</si>
  <si>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</si>
  <si>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</si>
  <si>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</si>
  <si>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</si>
  <si>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</si>
  <si>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</si>
  <si>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</si>
  <si>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</si>
  <si>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</si>
  <si>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</si>
  <si>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r>
      <t>(</t>
    </r>
    <r>
      <rPr>
        <i/>
        <sz val="12"/>
        <color theme="1"/>
        <rFont val="Calibri"/>
        <family val="2"/>
        <scheme val="minor"/>
      </rPr>
      <t>Period for accomplishing the goals will depend upon the Internship duration you intend to choose. Kindly do not change the mentioned goals as the internship is created with specific objective for ever participant)</t>
    </r>
  </si>
  <si>
    <t>Period</t>
  </si>
  <si>
    <t>Goal Description</t>
  </si>
  <si>
    <t>Action Plan</t>
  </si>
  <si>
    <t>Key Performance Indicators (KPI)</t>
  </si>
  <si>
    <t>E.g.</t>
  </si>
  <si>
    <t>Manage Time Better</t>
  </si>
  <si>
    <t>Create monthly, weekly &amp; daily Plan</t>
  </si>
  <si>
    <t>Ensure atleast 70% of the plan is accomplished every month for first 3 months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</si>
  <si>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</si>
  <si>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</si>
  <si>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</si>
  <si>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</si>
  <si>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</si>
  <si>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</si>
  <si>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</si>
  <si>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Add Column on the left</t>
  </si>
  <si>
    <t>Total</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</si>
  <si>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</si>
  <si>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</si>
  <si>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</si>
  <si>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</si>
  <si>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</si>
  <si>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</si>
  <si>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</si>
  <si>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</si>
  <si>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</si>
  <si>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</si>
  <si>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</si>
  <si>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</si>
  <si>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</si>
  <si>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</si>
  <si>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DEVELOPMENT PLAN- Chetan Katkar</t>
  </si>
  <si>
    <t>Weeks 1 &amp; 2</t>
  </si>
  <si>
    <t>Build a Machine Learning web app to predict career paths from student data</t>
  </si>
  <si>
    <t>1. Perform Data Cleaning and EDA on PS2 Dataset. 2. Train and evaluate 3 ML models (Decision Tree, Random Forest, XGBoost). 3. Develop and deploy the Streamlit web application.</t>
  </si>
  <si>
    <t>App deployed successfully on Streamlit Cloud with functional prediction wizard.</t>
  </si>
  <si>
    <t>Week 2</t>
  </si>
  <si>
    <t>Complete all project documentation and submit deliverables</t>
  </si>
  <si>
    <t>1. Complete Charter, SRS, WBS, RAID log, and Goal Setting documents. 2. Record a 2-minute demo video explaining the project. 3. Push final code to GitHub.</t>
  </si>
  <si>
    <t>All 8 deliverables and the demo video successfully submitted on time.</t>
  </si>
  <si>
    <t>worked on  project deliverables</t>
  </si>
  <si>
    <t>Submited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</si>
</sst>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4">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horizontal="lef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8" borderId="1" xfId="0" applyFill="1" applyBorder="1" applyAlignment="1">
      <alignment wrapText="1"/>
    </xf>
    <xf numFmtId="20" fontId="1" fillId="9" borderId="1" xfId="0" applyNumberFormat="1" applyFon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0" fontId="1" fillId="8" borderId="1" xfId="0" applyFont="1" applyFill="1" applyBorder="1" applyAlignment="1">
      <alignment horizontal="left" vertical="top"/>
    </xf>
    <xf numFmtId="0" fontId="1" fillId="8"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9">
    <dxf>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wrapText="0"/>
    </dxf>
    <dxf>
      <border>
        <bottom style="thin">
          <color indexed="64"/>
        </bottom>
      </border>
    </dxf>
    <dxf>
      <alignment vertical="top" wrapText="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1314450</xdr:colOff>
      <xdr:row>6</xdr:row>
      <xdr:rowOff>209550</xdr:rowOff>
    </xdr:from>
    <xdr:to>
      <xdr:col>3</xdr:col>
      <xdr:colOff>419100</xdr:colOff>
      <xdr:row>6</xdr:row>
      <xdr:rowOff>209550</xdr:rowOff>
    </xdr:to>
    <xdr:cxnSp macro="">
      <xdr:nvCxnSpPr>
        <xdr:cNvPr id="2" name="Straight Connector 1">
          <a:extLst>
            <a:ext uri="{FF2B5EF4-FFF2-40B4-BE49-F238E27FC236}">
              <a16:creationId xmlns:a16="http://schemas.microsoft.com/office/drawing/2014/main" id="{EEE0F00A-C420-2495-9DAE-16C4FA933715}"/>
            </a:ext>
          </a:extLst>
        </xdr:cNvPr>
        <xdr:cNvCxnSpPr>
          <a:cxnSpLocks/>
        </xdr:cNvCxnSpPr>
      </xdr:nvCxnSpPr>
      <xdr:spPr>
        <a:xfrm flipH="1">
          <a:off x="2543175" y="409575"/>
          <a:ext cx="866775" cy="0"/>
        </a:xfrm>
        <a:prstGeom prst="line">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HR" id="{74D78891-0669-4612-B23C-65C15C4C3002}" userId="S::hr@cloudcounselage.com::5e9af28d-55a0-4682-a7e1-8a44eb0d83a0" providerId="AD"/>
  <person displayName="Welcome CC" id="{28760EDC-7598-0B4E-85A6-AFE803BAB349}"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EC953-3E60-4B4B-8BB1-363E0F74674F}" name="Table1" displayName="Table1" ref="A25:D28" totalsRowShown="0" headerRowDxfId="8" dataDxfId="6" headerRowBorderDxfId="7" tableBorderDxfId="5" totalsRowBorderDxfId="4">
  <autoFilter ref="A25:D28" xr:uid="{DE0EC953-3E60-4B4B-8BB1-363E0F74674F}"/>
  <tableColumns count="4">
    <tableColumn id="1" xr3:uid="{696FAF48-FBE6-46D8-86FD-6C0E3A3846F2}" name="Period" dataDxfId="0"/>
    <tableColumn id="2" xr3:uid="{EF9D29D5-5C8A-4F00-BD39-DC5B25CE0961}" name="Goal Description" dataDxfId="3"/>
    <tableColumn id="3" xr3:uid="{F97B7CCA-EB24-48F8-8963-02057FF1225B}" name="Action Plan" dataDxfId="2"/>
    <tableColumn id="4" xr3:uid="{71CBE55C-12D7-42EB-B7C9-2254F059CD4A}" name="Key Performance Indicators (KPI)"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5" dT="2023-01-23T13:38:59.37" personId="{74D78891-0669-4612-B23C-65C15C4C3002}" id="{D2B9A3E4-A6EE-4FE9-AF1E-B45C8CBD5E63}">
    <text>What do you want to achieve</text>
  </threadedComment>
  <threadedComment ref="C25" dT="2023-01-23T13:39:30.07" personId="{74D78891-0669-4612-B23C-65C15C4C3002}" id="{318F8462-DDF8-484D-BCCD-72F75C59B02D}">
    <text>Steps you will take to achieve your goal</text>
  </threadedComment>
  <threadedComment ref="D25" dT="2023-01-23T13:40:04.56" personId="{74D78891-0669-4612-B23C-65C15C4C3002}" id="{989E8D5E-71BC-471F-8ABF-33AA897EEA1F}">
    <text>What will indicate your success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10" dT="2022-08-27T07:20:24.90" personId="{28760EDC-7598-0B4E-85A6-AFE803BAB349}" id="{C50D122A-2B4E-3941-B1C5-542CE92F2565}">
    <text xml:space="preserve">Add the time spent in hours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7" Type="http://schemas.microsoft.com/office/2017/10/relationships/threadedComment" Target="../threadedComments/threadedComment1.xml"/><Relationship Id="rId2" Type="http://schemas.openxmlformats.org/officeDocument/2006/relationships/hyperlink" Target="https://www.betterup.com/blog/what-is-self-motivation?hsLang=en" TargetMode="External"/><Relationship Id="rId1" Type="http://schemas.openxmlformats.org/officeDocument/2006/relationships/hyperlink" Target="https://www.betterup.com/blog/visualization?hsLang=en"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A88D-E6F2-ED4C-8892-38FD928E41DB}">
  <dimension ref="A1:J29"/>
  <sheetViews>
    <sheetView zoomScale="68" workbookViewId="0"/>
  </sheetViews>
  <sheetFormatPr defaultColWidth="11" defaultRowHeight="15.75" x14ac:dyDescent="0.5"/>
  <sheetData>
    <row r="1" spans="1:10" ht="21" x14ac:dyDescent="0.65">
      <c r="A1" s="57" t="s">
        <v>70</v>
      </c>
      <c r="B1" s="32"/>
      <c r="C1" s="32"/>
      <c r="D1" s="32"/>
    </row>
    <row r="2" spans="1:10" x14ac:dyDescent="0.5">
      <c r="A2" s="1"/>
    </row>
    <row r="3" spans="1:10" x14ac:dyDescent="0.5">
      <c r="A3" s="59" t="s">
        <v>0</v>
      </c>
      <c r="B3" s="32"/>
      <c r="C3" s="32"/>
      <c r="D3" s="32"/>
      <c r="E3" s="32"/>
      <c r="F3" s="32"/>
      <c r="G3" s="32"/>
      <c r="H3" s="32"/>
      <c r="I3" s="32"/>
      <c r="J3" s="32"/>
    </row>
    <row r="4" spans="1:10" x14ac:dyDescent="0.5">
      <c r="A4" s="1"/>
    </row>
    <row r="5" spans="1:10" x14ac:dyDescent="0.5">
      <c r="A5" t="s">
        <v>1</v>
      </c>
    </row>
    <row r="6" spans="1:10" x14ac:dyDescent="0.5">
      <c r="A6" t="s">
        <v>2</v>
      </c>
    </row>
    <row r="7" spans="1:10" x14ac:dyDescent="0.5">
      <c r="A7" t="s">
        <v>3</v>
      </c>
    </row>
    <row r="9" spans="1:10" x14ac:dyDescent="0.5">
      <c r="A9" s="33" t="s">
        <v>4</v>
      </c>
    </row>
    <row r="10" spans="1:10" x14ac:dyDescent="0.5">
      <c r="A10" t="s">
        <v>5</v>
      </c>
    </row>
    <row r="11" spans="1:10" x14ac:dyDescent="0.5">
      <c r="A11" s="17"/>
    </row>
    <row r="12" spans="1:10" x14ac:dyDescent="0.5">
      <c r="A12" t="s">
        <v>6</v>
      </c>
    </row>
    <row r="14" spans="1:10" x14ac:dyDescent="0.5">
      <c r="A14" t="s">
        <v>7</v>
      </c>
    </row>
    <row r="17" spans="1:2" x14ac:dyDescent="0.5">
      <c r="A17" s="34" t="s">
        <v>8</v>
      </c>
    </row>
    <row r="18" spans="1:2" x14ac:dyDescent="0.5">
      <c r="A18" s="18"/>
      <c r="B18" t="s">
        <v>9</v>
      </c>
    </row>
    <row r="19" spans="1:2" x14ac:dyDescent="0.5">
      <c r="A19" s="19"/>
      <c r="B19" t="s">
        <v>10</v>
      </c>
    </row>
    <row r="22" spans="1:2" x14ac:dyDescent="0.5">
      <c r="A22" t="s">
        <v>11</v>
      </c>
    </row>
    <row r="23" spans="1:2" x14ac:dyDescent="0.5">
      <c r="A23" t="s">
        <v>12</v>
      </c>
    </row>
    <row r="24" spans="1:2" x14ac:dyDescent="0.5">
      <c r="A24" s="5"/>
      <c r="B24" s="3" t="s">
        <v>13</v>
      </c>
    </row>
    <row r="25" spans="1:2" x14ac:dyDescent="0.5">
      <c r="A25" s="6"/>
      <c r="B25" s="3" t="s">
        <v>14</v>
      </c>
    </row>
    <row r="26" spans="1:2" x14ac:dyDescent="0.5">
      <c r="A26" s="7"/>
      <c r="B26" s="3" t="s">
        <v>15</v>
      </c>
    </row>
    <row r="27" spans="1:2" x14ac:dyDescent="0.5">
      <c r="A27" s="8"/>
      <c r="B27" s="3" t="s">
        <v>16</v>
      </c>
    </row>
    <row r="28" spans="1:2" x14ac:dyDescent="0.5">
      <c r="A28" s="54"/>
      <c r="B28" s="55" t="s">
        <v>17</v>
      </c>
    </row>
    <row r="29" spans="1:2" x14ac:dyDescent="0.5">
      <c r="A29" s="52"/>
      <c r="B29" s="5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F5378-6849-4F34-9126-738A06AFE76D}">
  <dimension ref="A1:D28"/>
  <sheetViews>
    <sheetView topLeftCell="B9" zoomScale="63" workbookViewId="0">
      <selection activeCell="D31" sqref="D31"/>
    </sheetView>
  </sheetViews>
  <sheetFormatPr defaultColWidth="9" defaultRowHeight="15.75" x14ac:dyDescent="0.5"/>
  <cols>
    <col min="1" max="1" width="22.875" style="30" customWidth="1"/>
    <col min="2" max="2" width="44" style="27" customWidth="1"/>
    <col min="3" max="3" width="33.5" style="27" customWidth="1"/>
    <col min="4" max="4" width="37.875" style="27" customWidth="1"/>
    <col min="5" max="16384" width="9" style="27"/>
  </cols>
  <sheetData>
    <row r="1" spans="1:2" x14ac:dyDescent="0.5">
      <c r="A1" s="26" t="s">
        <v>19</v>
      </c>
    </row>
    <row r="2" spans="1:2" ht="15.95" customHeight="1" x14ac:dyDescent="0.5">
      <c r="A2" s="62"/>
      <c r="B2" s="62"/>
    </row>
    <row r="3" spans="1:2" ht="78.75" customHeight="1" x14ac:dyDescent="0.5">
      <c r="A3" s="63" t="s">
        <v>20</v>
      </c>
      <c r="B3" s="63"/>
    </row>
    <row r="5" spans="1:2" x14ac:dyDescent="0.5">
      <c r="A5" s="37" t="s">
        <v>21</v>
      </c>
      <c r="B5" s="29"/>
    </row>
    <row r="6" spans="1:2" x14ac:dyDescent="0.5">
      <c r="A6" s="29">
        <v>1</v>
      </c>
      <c r="B6" s="28" t="s">
        <v>22</v>
      </c>
    </row>
    <row r="7" spans="1:2" x14ac:dyDescent="0.5">
      <c r="A7" s="29">
        <v>2</v>
      </c>
      <c r="B7" s="28" t="s">
        <v>23</v>
      </c>
    </row>
    <row r="8" spans="1:2" x14ac:dyDescent="0.5">
      <c r="A8" s="29">
        <v>3</v>
      </c>
      <c r="B8" s="28" t="s">
        <v>24</v>
      </c>
    </row>
    <row r="9" spans="1:2" x14ac:dyDescent="0.5">
      <c r="A9" s="29">
        <v>4</v>
      </c>
      <c r="B9" s="28" t="s">
        <v>25</v>
      </c>
    </row>
    <row r="10" spans="1:2" x14ac:dyDescent="0.5">
      <c r="A10" s="29">
        <v>5</v>
      </c>
      <c r="B10" s="28" t="s">
        <v>26</v>
      </c>
    </row>
    <row r="11" spans="1:2" x14ac:dyDescent="0.5">
      <c r="A11" s="29">
        <v>6</v>
      </c>
      <c r="B11" s="28" t="s">
        <v>27</v>
      </c>
    </row>
    <row r="13" spans="1:2" x14ac:dyDescent="0.5">
      <c r="A13" s="36" t="s">
        <v>28</v>
      </c>
    </row>
    <row r="14" spans="1:2" ht="31.5" x14ac:dyDescent="0.5">
      <c r="A14" s="29">
        <v>1</v>
      </c>
      <c r="B14" s="35" t="s">
        <v>29</v>
      </c>
    </row>
    <row r="15" spans="1:2" ht="31.5" x14ac:dyDescent="0.5">
      <c r="A15" s="29">
        <v>2</v>
      </c>
      <c r="B15" s="35" t="s">
        <v>30</v>
      </c>
    </row>
    <row r="16" spans="1:2" x14ac:dyDescent="0.5">
      <c r="A16" s="29">
        <v>3</v>
      </c>
      <c r="B16" s="35" t="s">
        <v>31</v>
      </c>
    </row>
    <row r="17" spans="1:4" ht="36.950000000000003" customHeight="1" x14ac:dyDescent="0.5">
      <c r="A17" s="29">
        <v>4</v>
      </c>
      <c r="B17" s="35" t="s">
        <v>32</v>
      </c>
    </row>
    <row r="18" spans="1:4" x14ac:dyDescent="0.5">
      <c r="A18" s="29">
        <v>5</v>
      </c>
      <c r="B18" s="35" t="s">
        <v>33</v>
      </c>
    </row>
    <row r="19" spans="1:4" ht="31.5" x14ac:dyDescent="0.5">
      <c r="A19" s="29">
        <v>6</v>
      </c>
      <c r="B19" s="35" t="s">
        <v>34</v>
      </c>
    </row>
    <row r="20" spans="1:4" ht="31.5" x14ac:dyDescent="0.5">
      <c r="A20" s="29">
        <v>7</v>
      </c>
      <c r="B20" s="35" t="s">
        <v>35</v>
      </c>
    </row>
    <row r="21" spans="1:4" x14ac:dyDescent="0.5">
      <c r="A21" s="26" t="s">
        <v>36</v>
      </c>
    </row>
    <row r="23" spans="1:4" x14ac:dyDescent="0.5">
      <c r="A23" s="26" t="s">
        <v>37</v>
      </c>
    </row>
    <row r="24" spans="1:4" x14ac:dyDescent="0.5">
      <c r="A24" s="50" t="s">
        <v>38</v>
      </c>
      <c r="B24" s="51"/>
      <c r="C24" s="51"/>
      <c r="D24" s="51"/>
    </row>
    <row r="25" spans="1:4" x14ac:dyDescent="0.5">
      <c r="A25" s="38" t="s">
        <v>39</v>
      </c>
      <c r="B25" s="39" t="s">
        <v>40</v>
      </c>
      <c r="C25" s="39" t="s">
        <v>41</v>
      </c>
      <c r="D25" s="40" t="s">
        <v>42</v>
      </c>
    </row>
    <row r="26" spans="1:4" ht="35.1" customHeight="1" x14ac:dyDescent="0.5">
      <c r="A26" s="41" t="s">
        <v>43</v>
      </c>
      <c r="B26" s="42" t="s">
        <v>44</v>
      </c>
      <c r="C26" s="42" t="s">
        <v>45</v>
      </c>
      <c r="D26" s="43" t="s">
        <v>46</v>
      </c>
    </row>
    <row r="27" spans="1:4" ht="51.95" customHeight="1" x14ac:dyDescent="0.5">
      <c r="A27" s="49" t="s">
        <v>71</v>
      </c>
      <c r="B27" s="44" t="s">
        <v>72</v>
      </c>
      <c r="C27" s="45" t="s">
        <v>73</v>
      </c>
      <c r="D27" s="46" t="s">
        <v>74</v>
      </c>
    </row>
    <row r="28" spans="1:4" ht="78.75" x14ac:dyDescent="0.5">
      <c r="A28" s="49" t="s">
        <v>75</v>
      </c>
      <c r="B28" s="45" t="s">
        <v>76</v>
      </c>
      <c r="C28" s="45" t="s">
        <v>77</v>
      </c>
      <c r="D28" s="46" t="s">
        <v>78</v>
      </c>
    </row>
  </sheetData>
  <mergeCells count="2">
    <mergeCell ref="A2:B2"/>
    <mergeCell ref="A3:B3"/>
  </mergeCells>
  <hyperlinks>
    <hyperlink ref="B14" r:id="rId1" xr:uid="{33854EC6-CE53-47D9-A66E-4D7D7BE25C41}"/>
    <hyperlink ref="B6" r:id="rId2" xr:uid="{5F330C48-E390-4ABC-837D-9B2CA06A91FF}"/>
    <hyperlink ref="B17" r:id="rId3" xr:uid="{8AE88E63-BAC0-4043-8991-1BAC190136DD}"/>
  </hyperlinks>
  <pageMargins left="0.7" right="0.7" top="0.75" bottom="0.75" header="0.3" footer="0.3"/>
  <pageSetup paperSize="9" orientation="portrait" horizontalDpi="0" verticalDpi="0"/>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C353-A14C-624C-8C45-6EF6F8177DD1}">
  <dimension ref="A1:CP25"/>
  <sheetViews>
    <sheetView tabSelected="1" topLeftCell="I1" zoomScale="32" workbookViewId="0">
      <selection activeCell="AM29" sqref="AM29"/>
    </sheetView>
  </sheetViews>
  <sheetFormatPr defaultColWidth="11" defaultRowHeight="15.75" x14ac:dyDescent="0.5"/>
  <cols>
    <col min="1" max="1" width="16.125" customWidth="1"/>
    <col min="2" max="2" width="18.5" customWidth="1"/>
    <col min="3" max="92" width="5.625" customWidth="1"/>
    <col min="93" max="116" width="5" customWidth="1"/>
  </cols>
  <sheetData>
    <row r="1" spans="1:94" x14ac:dyDescent="0.5">
      <c r="A1" s="56" t="s">
        <v>47</v>
      </c>
      <c r="B1" s="2"/>
    </row>
    <row r="2" spans="1:94" x14ac:dyDescent="0.5">
      <c r="A2" s="1"/>
      <c r="B2" s="2"/>
    </row>
    <row r="3" spans="1:94" x14ac:dyDescent="0.5">
      <c r="A3" s="1" t="s">
        <v>48</v>
      </c>
      <c r="B3" s="2"/>
    </row>
    <row r="4" spans="1:94" x14ac:dyDescent="0.5">
      <c r="A4" s="1" t="s">
        <v>49</v>
      </c>
      <c r="B4" s="2"/>
    </row>
    <row r="5" spans="1:94" x14ac:dyDescent="0.5">
      <c r="A5" s="1" t="s">
        <v>50</v>
      </c>
      <c r="B5" s="2"/>
    </row>
    <row r="6" spans="1:94" x14ac:dyDescent="0.5">
      <c r="A6" s="1"/>
      <c r="B6" s="2"/>
    </row>
    <row r="7" spans="1:94" ht="31.5" x14ac:dyDescent="0.5">
      <c r="A7" s="31" t="s">
        <v>51</v>
      </c>
      <c r="B7" s="20">
        <v>45793</v>
      </c>
      <c r="E7" s="58" t="s">
        <v>52</v>
      </c>
    </row>
    <row r="8" spans="1:94" s="16" customFormat="1" ht="66" customHeight="1" x14ac:dyDescent="0.5">
      <c r="A8" s="13"/>
      <c r="B8" s="14" t="s">
        <v>53</v>
      </c>
      <c r="C8" s="22">
        <f>B7</f>
        <v>45793</v>
      </c>
      <c r="D8" s="22">
        <f>C8+1</f>
        <v>45794</v>
      </c>
      <c r="E8" s="22">
        <f t="shared" ref="E8:BP8" si="0">D8+1</f>
        <v>45795</v>
      </c>
      <c r="F8" s="22">
        <f t="shared" si="0"/>
        <v>45796</v>
      </c>
      <c r="G8" s="22">
        <f t="shared" si="0"/>
        <v>45797</v>
      </c>
      <c r="H8" s="22">
        <f t="shared" si="0"/>
        <v>45798</v>
      </c>
      <c r="I8" s="22">
        <f t="shared" si="0"/>
        <v>45799</v>
      </c>
      <c r="J8" s="22">
        <f t="shared" si="0"/>
        <v>45800</v>
      </c>
      <c r="K8" s="22">
        <f t="shared" si="0"/>
        <v>45801</v>
      </c>
      <c r="L8" s="22">
        <f t="shared" si="0"/>
        <v>45802</v>
      </c>
      <c r="M8" s="22">
        <f t="shared" si="0"/>
        <v>45803</v>
      </c>
      <c r="N8" s="22">
        <f t="shared" si="0"/>
        <v>45804</v>
      </c>
      <c r="O8" s="22">
        <f t="shared" si="0"/>
        <v>45805</v>
      </c>
      <c r="P8" s="22">
        <f t="shared" si="0"/>
        <v>45806</v>
      </c>
      <c r="Q8" s="22">
        <f t="shared" si="0"/>
        <v>45807</v>
      </c>
      <c r="R8" s="22">
        <f t="shared" si="0"/>
        <v>45808</v>
      </c>
      <c r="S8" s="22">
        <f t="shared" si="0"/>
        <v>45809</v>
      </c>
      <c r="T8" s="22">
        <f t="shared" si="0"/>
        <v>45810</v>
      </c>
      <c r="U8" s="22">
        <f t="shared" si="0"/>
        <v>45811</v>
      </c>
      <c r="V8" s="22">
        <f t="shared" si="0"/>
        <v>45812</v>
      </c>
      <c r="W8" s="22">
        <f t="shared" si="0"/>
        <v>45813</v>
      </c>
      <c r="X8" s="22">
        <f t="shared" si="0"/>
        <v>45814</v>
      </c>
      <c r="Y8" s="22">
        <f t="shared" si="0"/>
        <v>45815</v>
      </c>
      <c r="Z8" s="22">
        <f t="shared" si="0"/>
        <v>45816</v>
      </c>
      <c r="AA8" s="22">
        <f t="shared" si="0"/>
        <v>45817</v>
      </c>
      <c r="AB8" s="22">
        <f t="shared" si="0"/>
        <v>45818</v>
      </c>
      <c r="AC8" s="22">
        <f t="shared" si="0"/>
        <v>45819</v>
      </c>
      <c r="AD8" s="22">
        <f t="shared" si="0"/>
        <v>45820</v>
      </c>
      <c r="AE8" s="22">
        <f t="shared" si="0"/>
        <v>45821</v>
      </c>
      <c r="AF8" s="22">
        <f t="shared" si="0"/>
        <v>45822</v>
      </c>
      <c r="AG8" s="22">
        <f t="shared" si="0"/>
        <v>45823</v>
      </c>
      <c r="AH8" s="22">
        <f t="shared" si="0"/>
        <v>45824</v>
      </c>
      <c r="AI8" s="22">
        <f t="shared" si="0"/>
        <v>45825</v>
      </c>
      <c r="AJ8" s="22">
        <f t="shared" si="0"/>
        <v>45826</v>
      </c>
      <c r="AK8" s="22">
        <f t="shared" si="0"/>
        <v>45827</v>
      </c>
      <c r="AL8" s="22">
        <f t="shared" si="0"/>
        <v>45828</v>
      </c>
      <c r="AM8" s="22">
        <f t="shared" si="0"/>
        <v>45829</v>
      </c>
      <c r="AN8" s="22">
        <f t="shared" si="0"/>
        <v>45830</v>
      </c>
      <c r="AO8" s="22">
        <f t="shared" si="0"/>
        <v>45831</v>
      </c>
      <c r="AP8" s="22">
        <f t="shared" si="0"/>
        <v>45832</v>
      </c>
      <c r="AQ8" s="22">
        <f t="shared" si="0"/>
        <v>45833</v>
      </c>
      <c r="AR8" s="22">
        <f t="shared" si="0"/>
        <v>45834</v>
      </c>
      <c r="AS8" s="22">
        <f t="shared" si="0"/>
        <v>45835</v>
      </c>
      <c r="AT8" s="22">
        <f t="shared" si="0"/>
        <v>45836</v>
      </c>
      <c r="AU8" s="22">
        <f t="shared" si="0"/>
        <v>45837</v>
      </c>
      <c r="AV8" s="22">
        <f t="shared" si="0"/>
        <v>45838</v>
      </c>
      <c r="AW8" s="22">
        <f t="shared" si="0"/>
        <v>45839</v>
      </c>
      <c r="AX8" s="22">
        <f t="shared" si="0"/>
        <v>45840</v>
      </c>
      <c r="AY8" s="22">
        <f t="shared" si="0"/>
        <v>45841</v>
      </c>
      <c r="AZ8" s="22">
        <f t="shared" si="0"/>
        <v>45842</v>
      </c>
      <c r="BA8" s="22">
        <f t="shared" si="0"/>
        <v>45843</v>
      </c>
      <c r="BB8" s="22">
        <f t="shared" si="0"/>
        <v>45844</v>
      </c>
      <c r="BC8" s="22">
        <f t="shared" si="0"/>
        <v>45845</v>
      </c>
      <c r="BD8" s="22">
        <f t="shared" si="0"/>
        <v>45846</v>
      </c>
      <c r="BE8" s="22">
        <f t="shared" si="0"/>
        <v>45847</v>
      </c>
      <c r="BF8" s="22">
        <f t="shared" si="0"/>
        <v>45848</v>
      </c>
      <c r="BG8" s="22">
        <f t="shared" si="0"/>
        <v>45849</v>
      </c>
      <c r="BH8" s="22">
        <f t="shared" si="0"/>
        <v>45850</v>
      </c>
      <c r="BI8" s="22">
        <f t="shared" si="0"/>
        <v>45851</v>
      </c>
      <c r="BJ8" s="22">
        <f t="shared" si="0"/>
        <v>45852</v>
      </c>
      <c r="BK8" s="22">
        <f t="shared" si="0"/>
        <v>45853</v>
      </c>
      <c r="BL8" s="22">
        <f t="shared" si="0"/>
        <v>45854</v>
      </c>
      <c r="BM8" s="22">
        <f t="shared" si="0"/>
        <v>45855</v>
      </c>
      <c r="BN8" s="22">
        <f t="shared" si="0"/>
        <v>45856</v>
      </c>
      <c r="BO8" s="22">
        <f t="shared" si="0"/>
        <v>45857</v>
      </c>
      <c r="BP8" s="22">
        <f t="shared" si="0"/>
        <v>45858</v>
      </c>
      <c r="BQ8" s="22">
        <f t="shared" ref="BQ8:CN8" si="1">BP8+1</f>
        <v>45859</v>
      </c>
      <c r="BR8" s="22">
        <f t="shared" si="1"/>
        <v>45860</v>
      </c>
      <c r="BS8" s="22">
        <f t="shared" si="1"/>
        <v>45861</v>
      </c>
      <c r="BT8" s="22">
        <f t="shared" si="1"/>
        <v>45862</v>
      </c>
      <c r="BU8" s="22">
        <f t="shared" si="1"/>
        <v>45863</v>
      </c>
      <c r="BV8" s="22">
        <f t="shared" si="1"/>
        <v>45864</v>
      </c>
      <c r="BW8" s="22">
        <f t="shared" si="1"/>
        <v>45865</v>
      </c>
      <c r="BX8" s="22">
        <f t="shared" si="1"/>
        <v>45866</v>
      </c>
      <c r="BY8" s="22">
        <f t="shared" si="1"/>
        <v>45867</v>
      </c>
      <c r="BZ8" s="22">
        <f t="shared" si="1"/>
        <v>45868</v>
      </c>
      <c r="CA8" s="22">
        <f t="shared" si="1"/>
        <v>45869</v>
      </c>
      <c r="CB8" s="22">
        <f t="shared" si="1"/>
        <v>45870</v>
      </c>
      <c r="CC8" s="22">
        <f t="shared" si="1"/>
        <v>45871</v>
      </c>
      <c r="CD8" s="22">
        <f t="shared" si="1"/>
        <v>45872</v>
      </c>
      <c r="CE8" s="22">
        <f t="shared" si="1"/>
        <v>45873</v>
      </c>
      <c r="CF8" s="22">
        <f t="shared" si="1"/>
        <v>45874</v>
      </c>
      <c r="CG8" s="22">
        <f t="shared" si="1"/>
        <v>45875</v>
      </c>
      <c r="CH8" s="22">
        <f t="shared" si="1"/>
        <v>45876</v>
      </c>
      <c r="CI8" s="22">
        <f t="shared" si="1"/>
        <v>45877</v>
      </c>
      <c r="CJ8" s="22">
        <f t="shared" si="1"/>
        <v>45878</v>
      </c>
      <c r="CK8" s="22">
        <f t="shared" si="1"/>
        <v>45879</v>
      </c>
      <c r="CL8" s="22">
        <f t="shared" si="1"/>
        <v>45880</v>
      </c>
      <c r="CM8" s="22">
        <f t="shared" si="1"/>
        <v>45881</v>
      </c>
      <c r="CN8" s="22">
        <f t="shared" si="1"/>
        <v>45882</v>
      </c>
      <c r="CO8" s="15" t="s">
        <v>54</v>
      </c>
      <c r="CP8" s="13" t="s">
        <v>55</v>
      </c>
    </row>
    <row r="9" spans="1:94" s="12" customFormat="1" ht="40.15" x14ac:dyDescent="0.5">
      <c r="A9" s="9" t="s">
        <v>56</v>
      </c>
      <c r="B9" s="9" t="s">
        <v>57</v>
      </c>
      <c r="C9" s="10" t="s">
        <v>58</v>
      </c>
      <c r="D9" s="10" t="s">
        <v>58</v>
      </c>
      <c r="E9" s="10" t="s">
        <v>58</v>
      </c>
      <c r="F9" s="10" t="s">
        <v>58</v>
      </c>
      <c r="G9" s="10" t="s">
        <v>58</v>
      </c>
      <c r="H9" s="10" t="s">
        <v>58</v>
      </c>
      <c r="I9" s="10" t="s">
        <v>58</v>
      </c>
      <c r="J9" s="10" t="s">
        <v>58</v>
      </c>
      <c r="K9" s="10" t="s">
        <v>58</v>
      </c>
      <c r="L9" s="10" t="s">
        <v>58</v>
      </c>
      <c r="M9" s="10" t="s">
        <v>58</v>
      </c>
      <c r="N9" s="10" t="s">
        <v>58</v>
      </c>
      <c r="O9" s="10" t="s">
        <v>58</v>
      </c>
      <c r="P9" s="10" t="s">
        <v>58</v>
      </c>
      <c r="Q9" s="10" t="s">
        <v>58</v>
      </c>
      <c r="R9" s="10" t="s">
        <v>58</v>
      </c>
      <c r="S9" s="10" t="s">
        <v>58</v>
      </c>
      <c r="T9" s="10" t="s">
        <v>58</v>
      </c>
      <c r="U9" s="10" t="s">
        <v>58</v>
      </c>
      <c r="V9" s="10" t="s">
        <v>58</v>
      </c>
      <c r="W9" s="10" t="s">
        <v>58</v>
      </c>
      <c r="X9" s="10" t="s">
        <v>58</v>
      </c>
      <c r="Y9" s="10" t="s">
        <v>58</v>
      </c>
      <c r="Z9" s="10" t="s">
        <v>58</v>
      </c>
      <c r="AA9" s="10" t="s">
        <v>58</v>
      </c>
      <c r="AB9" s="10" t="s">
        <v>58</v>
      </c>
      <c r="AC9" s="10" t="s">
        <v>58</v>
      </c>
      <c r="AD9" s="10" t="s">
        <v>58</v>
      </c>
      <c r="AE9" s="10" t="s">
        <v>58</v>
      </c>
      <c r="AF9" s="10" t="s">
        <v>58</v>
      </c>
      <c r="AG9" s="10" t="s">
        <v>58</v>
      </c>
      <c r="AH9" s="10" t="s">
        <v>58</v>
      </c>
      <c r="AI9" s="10" t="s">
        <v>58</v>
      </c>
      <c r="AJ9" s="10" t="s">
        <v>58</v>
      </c>
      <c r="AK9" s="10" t="s">
        <v>58</v>
      </c>
      <c r="AL9" s="10" t="s">
        <v>58</v>
      </c>
      <c r="AM9" s="10" t="s">
        <v>58</v>
      </c>
      <c r="AN9" s="10" t="s">
        <v>58</v>
      </c>
      <c r="AO9" s="10" t="s">
        <v>58</v>
      </c>
      <c r="AP9" s="10" t="s">
        <v>58</v>
      </c>
      <c r="AQ9" s="10" t="s">
        <v>58</v>
      </c>
      <c r="AR9" s="10" t="s">
        <v>58</v>
      </c>
      <c r="AS9" s="10" t="s">
        <v>58</v>
      </c>
      <c r="AT9" s="10" t="s">
        <v>58</v>
      </c>
      <c r="AU9" s="10" t="s">
        <v>58</v>
      </c>
      <c r="AV9" s="10" t="s">
        <v>58</v>
      </c>
      <c r="AW9" s="10" t="s">
        <v>58</v>
      </c>
      <c r="AX9" s="10" t="s">
        <v>58</v>
      </c>
      <c r="AY9" s="10" t="s">
        <v>58</v>
      </c>
      <c r="AZ9" s="10" t="s">
        <v>58</v>
      </c>
      <c r="BA9" s="10" t="s">
        <v>58</v>
      </c>
      <c r="BB9" s="10" t="s">
        <v>58</v>
      </c>
      <c r="BC9" s="10" t="s">
        <v>58</v>
      </c>
      <c r="BD9" s="10" t="s">
        <v>58</v>
      </c>
      <c r="BE9" s="10" t="s">
        <v>58</v>
      </c>
      <c r="BF9" s="10" t="s">
        <v>58</v>
      </c>
      <c r="BG9" s="10" t="s">
        <v>58</v>
      </c>
      <c r="BH9" s="10" t="s">
        <v>58</v>
      </c>
      <c r="BI9" s="10" t="s">
        <v>58</v>
      </c>
      <c r="BJ9" s="10" t="s">
        <v>58</v>
      </c>
      <c r="BK9" s="10" t="s">
        <v>58</v>
      </c>
      <c r="BL9" s="10" t="s">
        <v>58</v>
      </c>
      <c r="BM9" s="10" t="s">
        <v>58</v>
      </c>
      <c r="BN9" s="10" t="s">
        <v>58</v>
      </c>
      <c r="BO9" s="10" t="s">
        <v>58</v>
      </c>
      <c r="BP9" s="10" t="s">
        <v>58</v>
      </c>
      <c r="BQ9" s="10" t="s">
        <v>58</v>
      </c>
      <c r="BR9" s="10" t="s">
        <v>58</v>
      </c>
      <c r="BS9" s="10" t="s">
        <v>58</v>
      </c>
      <c r="BT9" s="10" t="s">
        <v>58</v>
      </c>
      <c r="BU9" s="10" t="s">
        <v>58</v>
      </c>
      <c r="BV9" s="10" t="s">
        <v>58</v>
      </c>
      <c r="BW9" s="10" t="s">
        <v>58</v>
      </c>
      <c r="BX9" s="10" t="s">
        <v>58</v>
      </c>
      <c r="BY9" s="10" t="s">
        <v>58</v>
      </c>
      <c r="BZ9" s="10" t="s">
        <v>58</v>
      </c>
      <c r="CA9" s="10" t="s">
        <v>58</v>
      </c>
      <c r="CB9" s="10" t="s">
        <v>58</v>
      </c>
      <c r="CC9" s="10" t="s">
        <v>58</v>
      </c>
      <c r="CD9" s="10" t="s">
        <v>58</v>
      </c>
      <c r="CE9" s="10" t="s">
        <v>58</v>
      </c>
      <c r="CF9" s="10" t="s">
        <v>58</v>
      </c>
      <c r="CG9" s="10" t="s">
        <v>58</v>
      </c>
      <c r="CH9" s="10" t="s">
        <v>58</v>
      </c>
      <c r="CI9" s="10" t="s">
        <v>58</v>
      </c>
      <c r="CJ9" s="10" t="s">
        <v>58</v>
      </c>
      <c r="CK9" s="10" t="s">
        <v>58</v>
      </c>
      <c r="CL9" s="10" t="s">
        <v>58</v>
      </c>
      <c r="CM9" s="10" t="s">
        <v>58</v>
      </c>
      <c r="CN9" s="10" t="s">
        <v>58</v>
      </c>
      <c r="CO9" s="11"/>
      <c r="CP9" s="23"/>
    </row>
    <row r="10" spans="1:94" x14ac:dyDescent="0.5">
      <c r="A10" s="61" t="s">
        <v>59</v>
      </c>
      <c r="B10" s="21" t="s">
        <v>60</v>
      </c>
      <c r="C10" s="3">
        <v>1</v>
      </c>
      <c r="D10" s="3">
        <v>1</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24">
        <f t="shared" ref="CP10:CP25" si="2">SUM(C10:CO10)</f>
        <v>2</v>
      </c>
    </row>
    <row r="11" spans="1:94" x14ac:dyDescent="0.5">
      <c r="A11" s="61"/>
      <c r="B11" s="21" t="s">
        <v>61</v>
      </c>
      <c r="C11" s="3"/>
      <c r="D11" s="3"/>
      <c r="E11" s="3">
        <v>2</v>
      </c>
      <c r="F11" s="3"/>
      <c r="G11" s="3">
        <v>2</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 t="shared" si="2"/>
        <v>4</v>
      </c>
    </row>
    <row r="12" spans="1:94" x14ac:dyDescent="0.5">
      <c r="A12" s="61"/>
      <c r="B12" s="21" t="s">
        <v>62</v>
      </c>
      <c r="C12" s="3"/>
      <c r="D12" s="3"/>
      <c r="E12" s="3"/>
      <c r="F12" s="3"/>
      <c r="G12" s="3"/>
      <c r="H12" s="3">
        <v>2</v>
      </c>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row>
    <row r="13" spans="1:94" x14ac:dyDescent="0.5">
      <c r="A13" s="61"/>
      <c r="B13" s="4" t="s">
        <v>63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f t="shared" si="2"/>
        <v>0</v>
      </c>
    </row>
    <row r="14" spans="1:94" x14ac:dyDescent="0.5">
      <c r="A14" s="61"/>
      <c r="B14" s="25" t="s">
        <v>64</v>
      </c>
      <c r="C14" s="48">
        <f>SUM(C10:C13)</f>
        <v>1</v>
      </c>
      <c r="D14" s="48">
        <f t="shared" ref="D14:BO14" si="3">SUM(D10:D13)</f>
        <v>1</v>
      </c>
      <c r="E14" s="48">
        <f t="shared" si="3"/>
        <v>2</v>
      </c>
      <c r="F14" s="48">
        <f t="shared" si="3"/>
        <v>0</v>
      </c>
      <c r="G14" s="48">
        <f t="shared" si="3"/>
        <v>2</v>
      </c>
      <c r="H14" s="48">
        <f t="shared" si="3"/>
        <v>2</v>
      </c>
      <c r="I14" s="48">
        <f t="shared" si="3"/>
        <v>0</v>
      </c>
      <c r="J14" s="48">
        <f t="shared" si="3"/>
        <v>0</v>
      </c>
      <c r="K14" s="48">
        <f t="shared" si="3"/>
        <v>0</v>
      </c>
      <c r="L14" s="48">
        <f t="shared" si="3"/>
        <v>0</v>
      </c>
      <c r="M14" s="48">
        <f t="shared" si="3"/>
        <v>0</v>
      </c>
      <c r="N14" s="48">
        <f t="shared" si="3"/>
        <v>0</v>
      </c>
      <c r="O14" s="48">
        <f t="shared" si="3"/>
        <v>0</v>
      </c>
      <c r="P14" s="48">
        <f t="shared" si="3"/>
        <v>0</v>
      </c>
      <c r="Q14" s="48">
        <f t="shared" si="3"/>
        <v>0</v>
      </c>
      <c r="R14" s="48">
        <f t="shared" si="3"/>
        <v>0</v>
      </c>
      <c r="S14" s="48">
        <f t="shared" si="3"/>
        <v>0</v>
      </c>
      <c r="T14" s="48">
        <f t="shared" si="3"/>
        <v>0</v>
      </c>
      <c r="U14" s="48">
        <f t="shared" si="3"/>
        <v>0</v>
      </c>
      <c r="V14" s="48">
        <f t="shared" si="3"/>
        <v>0</v>
      </c>
      <c r="W14" s="48">
        <f t="shared" si="3"/>
        <v>0</v>
      </c>
      <c r="X14" s="48">
        <f t="shared" si="3"/>
        <v>0</v>
      </c>
      <c r="Y14" s="48">
        <f t="shared" si="3"/>
        <v>0</v>
      </c>
      <c r="Z14" s="48">
        <f t="shared" si="3"/>
        <v>0</v>
      </c>
      <c r="AA14" s="48">
        <f t="shared" si="3"/>
        <v>0</v>
      </c>
      <c r="AB14" s="48">
        <f t="shared" si="3"/>
        <v>0</v>
      </c>
      <c r="AC14" s="48">
        <f t="shared" si="3"/>
        <v>0</v>
      </c>
      <c r="AD14" s="48">
        <f t="shared" si="3"/>
        <v>0</v>
      </c>
      <c r="AE14" s="48">
        <f t="shared" si="3"/>
        <v>0</v>
      </c>
      <c r="AF14" s="48">
        <f t="shared" si="3"/>
        <v>0</v>
      </c>
      <c r="AG14" s="48">
        <f t="shared" si="3"/>
        <v>0</v>
      </c>
      <c r="AH14" s="48">
        <f t="shared" si="3"/>
        <v>0</v>
      </c>
      <c r="AI14" s="48">
        <f t="shared" si="3"/>
        <v>0</v>
      </c>
      <c r="AJ14" s="48">
        <f t="shared" si="3"/>
        <v>0</v>
      </c>
      <c r="AK14" s="48">
        <f t="shared" si="3"/>
        <v>0</v>
      </c>
      <c r="AL14" s="48">
        <f t="shared" si="3"/>
        <v>0</v>
      </c>
      <c r="AM14" s="48">
        <f t="shared" si="3"/>
        <v>0</v>
      </c>
      <c r="AN14" s="48">
        <f t="shared" si="3"/>
        <v>0</v>
      </c>
      <c r="AO14" s="48">
        <f t="shared" si="3"/>
        <v>0</v>
      </c>
      <c r="AP14" s="48">
        <f t="shared" si="3"/>
        <v>0</v>
      </c>
      <c r="AQ14" s="48">
        <f t="shared" si="3"/>
        <v>0</v>
      </c>
      <c r="AR14" s="48">
        <f t="shared" si="3"/>
        <v>0</v>
      </c>
      <c r="AS14" s="48">
        <f t="shared" si="3"/>
        <v>0</v>
      </c>
      <c r="AT14" s="48">
        <f t="shared" si="3"/>
        <v>0</v>
      </c>
      <c r="AU14" s="48">
        <f t="shared" si="3"/>
        <v>0</v>
      </c>
      <c r="AV14" s="48">
        <f t="shared" si="3"/>
        <v>0</v>
      </c>
      <c r="AW14" s="48">
        <f t="shared" si="3"/>
        <v>0</v>
      </c>
      <c r="AX14" s="48">
        <f t="shared" si="3"/>
        <v>0</v>
      </c>
      <c r="AY14" s="48">
        <f t="shared" si="3"/>
        <v>0</v>
      </c>
      <c r="AZ14" s="48">
        <f t="shared" si="3"/>
        <v>0</v>
      </c>
      <c r="BA14" s="48">
        <f t="shared" si="3"/>
        <v>0</v>
      </c>
      <c r="BB14" s="48">
        <f t="shared" si="3"/>
        <v>0</v>
      </c>
      <c r="BC14" s="48">
        <f t="shared" si="3"/>
        <v>0</v>
      </c>
      <c r="BD14" s="48">
        <f t="shared" si="3"/>
        <v>0</v>
      </c>
      <c r="BE14" s="48">
        <f t="shared" si="3"/>
        <v>0</v>
      </c>
      <c r="BF14" s="48">
        <f t="shared" si="3"/>
        <v>0</v>
      </c>
      <c r="BG14" s="48">
        <f t="shared" si="3"/>
        <v>0</v>
      </c>
      <c r="BH14" s="48">
        <f t="shared" si="3"/>
        <v>0</v>
      </c>
      <c r="BI14" s="48">
        <f t="shared" si="3"/>
        <v>0</v>
      </c>
      <c r="BJ14" s="48">
        <f t="shared" si="3"/>
        <v>0</v>
      </c>
      <c r="BK14" s="48">
        <f t="shared" si="3"/>
        <v>0</v>
      </c>
      <c r="BL14" s="48">
        <f t="shared" si="3"/>
        <v>0</v>
      </c>
      <c r="BM14" s="48">
        <f t="shared" si="3"/>
        <v>0</v>
      </c>
      <c r="BN14" s="48">
        <f t="shared" si="3"/>
        <v>0</v>
      </c>
      <c r="BO14" s="48">
        <f t="shared" si="3"/>
        <v>0</v>
      </c>
      <c r="BP14" s="48">
        <f t="shared" ref="BP14:CO14" si="4">SUM(BP10:BP13)</f>
        <v>0</v>
      </c>
      <c r="BQ14" s="48">
        <f t="shared" si="4"/>
        <v>0</v>
      </c>
      <c r="BR14" s="48">
        <f t="shared" si="4"/>
        <v>0</v>
      </c>
      <c r="BS14" s="48">
        <f t="shared" si="4"/>
        <v>0</v>
      </c>
      <c r="BT14" s="48">
        <f t="shared" si="4"/>
        <v>0</v>
      </c>
      <c r="BU14" s="48">
        <f t="shared" si="4"/>
        <v>0</v>
      </c>
      <c r="BV14" s="48">
        <f t="shared" si="4"/>
        <v>0</v>
      </c>
      <c r="BW14" s="48">
        <f t="shared" si="4"/>
        <v>0</v>
      </c>
      <c r="BX14" s="48">
        <f t="shared" si="4"/>
        <v>0</v>
      </c>
      <c r="BY14" s="48">
        <f t="shared" si="4"/>
        <v>0</v>
      </c>
      <c r="BZ14" s="48">
        <f t="shared" si="4"/>
        <v>0</v>
      </c>
      <c r="CA14" s="48">
        <f t="shared" si="4"/>
        <v>0</v>
      </c>
      <c r="CB14" s="48">
        <f t="shared" si="4"/>
        <v>0</v>
      </c>
      <c r="CC14" s="48">
        <f t="shared" si="4"/>
        <v>0</v>
      </c>
      <c r="CD14" s="48">
        <f t="shared" si="4"/>
        <v>0</v>
      </c>
      <c r="CE14" s="48">
        <f t="shared" si="4"/>
        <v>0</v>
      </c>
      <c r="CF14" s="48">
        <f t="shared" si="4"/>
        <v>0</v>
      </c>
      <c r="CG14" s="48">
        <f t="shared" si="4"/>
        <v>0</v>
      </c>
      <c r="CH14" s="48">
        <f t="shared" si="4"/>
        <v>0</v>
      </c>
      <c r="CI14" s="48">
        <f t="shared" si="4"/>
        <v>0</v>
      </c>
      <c r="CJ14" s="48">
        <f t="shared" si="4"/>
        <v>0</v>
      </c>
      <c r="CK14" s="48">
        <f t="shared" si="4"/>
        <v>0</v>
      </c>
      <c r="CL14" s="48">
        <f t="shared" si="4"/>
        <v>0</v>
      </c>
      <c r="CM14" s="48">
        <f t="shared" si="4"/>
        <v>0</v>
      </c>
      <c r="CN14" s="48">
        <f t="shared" si="4"/>
        <v>0</v>
      </c>
      <c r="CO14" s="48">
        <f t="shared" si="4"/>
        <v>0</v>
      </c>
      <c r="CP14" s="24">
        <f t="shared" si="2"/>
        <v>8</v>
      </c>
    </row>
    <row r="15" spans="1:94" x14ac:dyDescent="0.5">
      <c r="A15" s="60" t="s">
        <v>65</v>
      </c>
      <c r="B15" s="21" t="s">
        <v>66</v>
      </c>
      <c r="C15" s="3"/>
      <c r="D15" s="3"/>
      <c r="E15" s="3"/>
      <c r="F15" s="3"/>
      <c r="G15" s="3"/>
      <c r="H15" s="3"/>
      <c r="I15" s="3"/>
      <c r="J15" s="3">
        <v>2</v>
      </c>
      <c r="K15" s="3">
        <v>2</v>
      </c>
      <c r="L15" s="3">
        <v>2</v>
      </c>
      <c r="M15" s="3"/>
      <c r="N15" s="3">
        <v>1</v>
      </c>
      <c r="O15" s="3"/>
      <c r="P15" s="3"/>
      <c r="Q15" s="3">
        <v>2</v>
      </c>
      <c r="R15" s="3"/>
      <c r="S15" s="3"/>
      <c r="T15" s="3">
        <v>2</v>
      </c>
      <c r="U15" s="3">
        <v>1</v>
      </c>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24">
        <f t="shared" si="2"/>
        <v>12</v>
      </c>
    </row>
    <row r="16" spans="1:94" x14ac:dyDescent="0.5">
      <c r="A16" s="60"/>
      <c r="B16" s="21" t="s">
        <v>67</v>
      </c>
      <c r="C16" s="3"/>
      <c r="D16" s="3"/>
      <c r="E16" s="3"/>
      <c r="F16" s="3"/>
      <c r="G16" s="3"/>
      <c r="H16" s="3"/>
      <c r="I16" s="3"/>
      <c r="J16" s="3"/>
      <c r="K16" s="3"/>
      <c r="L16" s="3"/>
      <c r="M16" s="3">
        <v>2</v>
      </c>
      <c r="N16" s="3"/>
      <c r="O16" s="3"/>
      <c r="P16" s="3"/>
      <c r="Q16" s="3"/>
      <c r="R16" s="3">
        <v>1</v>
      </c>
      <c r="S16" s="3"/>
      <c r="T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 t="shared" si="2"/>
        <v>3</v>
      </c>
    </row>
    <row r="17" spans="1:94" x14ac:dyDescent="0.5">
      <c r="A17" s="60"/>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row>
    <row r="18" spans="1:94" x14ac:dyDescent="0.5">
      <c r="A18" s="60"/>
      <c r="B18" s="4" t="s">
        <v>63</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f t="shared" si="2"/>
        <v>0</v>
      </c>
    </row>
    <row r="19" spans="1:94" x14ac:dyDescent="0.5">
      <c r="A19" s="60"/>
      <c r="B19" s="25" t="s">
        <v>64</v>
      </c>
      <c r="C19" s="48">
        <f>SUM(C15:C18)</f>
        <v>0</v>
      </c>
      <c r="D19" s="48">
        <f t="shared" ref="D19:BO19" si="5">SUM(D15:D18)</f>
        <v>0</v>
      </c>
      <c r="E19" s="48">
        <f t="shared" si="5"/>
        <v>0</v>
      </c>
      <c r="F19" s="48">
        <f t="shared" si="5"/>
        <v>0</v>
      </c>
      <c r="G19" s="48">
        <f t="shared" si="5"/>
        <v>0</v>
      </c>
      <c r="H19" s="48">
        <f t="shared" si="5"/>
        <v>0</v>
      </c>
      <c r="I19" s="48">
        <f t="shared" si="5"/>
        <v>0</v>
      </c>
      <c r="J19" s="48">
        <f t="shared" si="5"/>
        <v>2</v>
      </c>
      <c r="K19" s="48">
        <f t="shared" si="5"/>
        <v>2</v>
      </c>
      <c r="L19" s="48">
        <f t="shared" si="5"/>
        <v>2</v>
      </c>
      <c r="M19" s="48">
        <f t="shared" si="5"/>
        <v>2</v>
      </c>
      <c r="N19" s="48">
        <f t="shared" si="5"/>
        <v>1</v>
      </c>
      <c r="O19" s="48">
        <f t="shared" si="5"/>
        <v>0</v>
      </c>
      <c r="P19" s="48">
        <f t="shared" si="5"/>
        <v>0</v>
      </c>
      <c r="Q19" s="48">
        <f t="shared" si="5"/>
        <v>2</v>
      </c>
      <c r="R19" s="48">
        <f t="shared" si="5"/>
        <v>1</v>
      </c>
      <c r="S19" s="48">
        <f t="shared" si="5"/>
        <v>0</v>
      </c>
      <c r="T19" s="48">
        <f t="shared" si="5"/>
        <v>2</v>
      </c>
      <c r="U19" s="48">
        <f>SUM(U15:U18)</f>
        <v>1</v>
      </c>
      <c r="V19" s="48">
        <f t="shared" si="5"/>
        <v>0</v>
      </c>
      <c r="W19" s="48">
        <f t="shared" si="5"/>
        <v>0</v>
      </c>
      <c r="X19" s="48">
        <f t="shared" si="5"/>
        <v>0</v>
      </c>
      <c r="Y19" s="48">
        <f t="shared" si="5"/>
        <v>0</v>
      </c>
      <c r="Z19" s="48">
        <f t="shared" si="5"/>
        <v>0</v>
      </c>
      <c r="AA19" s="48">
        <f t="shared" si="5"/>
        <v>0</v>
      </c>
      <c r="AB19" s="48">
        <f t="shared" si="5"/>
        <v>0</v>
      </c>
      <c r="AC19" s="48">
        <f t="shared" si="5"/>
        <v>0</v>
      </c>
      <c r="AD19" s="48">
        <f t="shared" si="5"/>
        <v>0</v>
      </c>
      <c r="AE19" s="48">
        <f t="shared" si="5"/>
        <v>0</v>
      </c>
      <c r="AF19" s="48">
        <f t="shared" si="5"/>
        <v>0</v>
      </c>
      <c r="AG19" s="48">
        <f t="shared" si="5"/>
        <v>0</v>
      </c>
      <c r="AH19" s="48">
        <f t="shared" si="5"/>
        <v>0</v>
      </c>
      <c r="AI19" s="48">
        <f t="shared" si="5"/>
        <v>0</v>
      </c>
      <c r="AJ19" s="48">
        <f t="shared" si="5"/>
        <v>0</v>
      </c>
      <c r="AK19" s="48">
        <f t="shared" si="5"/>
        <v>0</v>
      </c>
      <c r="AL19" s="48">
        <f t="shared" si="5"/>
        <v>0</v>
      </c>
      <c r="AM19" s="48">
        <f t="shared" si="5"/>
        <v>0</v>
      </c>
      <c r="AN19" s="48">
        <f t="shared" si="5"/>
        <v>0</v>
      </c>
      <c r="AO19" s="48">
        <f t="shared" si="5"/>
        <v>0</v>
      </c>
      <c r="AP19" s="48">
        <f t="shared" si="5"/>
        <v>0</v>
      </c>
      <c r="AQ19" s="48">
        <f t="shared" si="5"/>
        <v>0</v>
      </c>
      <c r="AR19" s="48">
        <f t="shared" si="5"/>
        <v>0</v>
      </c>
      <c r="AS19" s="48">
        <f t="shared" si="5"/>
        <v>0</v>
      </c>
      <c r="AT19" s="48">
        <f t="shared" si="5"/>
        <v>0</v>
      </c>
      <c r="AU19" s="48">
        <f t="shared" si="5"/>
        <v>0</v>
      </c>
      <c r="AV19" s="48">
        <f t="shared" si="5"/>
        <v>0</v>
      </c>
      <c r="AW19" s="48">
        <f t="shared" si="5"/>
        <v>0</v>
      </c>
      <c r="AX19" s="48">
        <f t="shared" si="5"/>
        <v>0</v>
      </c>
      <c r="AY19" s="48">
        <f t="shared" si="5"/>
        <v>0</v>
      </c>
      <c r="AZ19" s="48">
        <f t="shared" si="5"/>
        <v>0</v>
      </c>
      <c r="BA19" s="48">
        <f t="shared" si="5"/>
        <v>0</v>
      </c>
      <c r="BB19" s="48">
        <f t="shared" si="5"/>
        <v>0</v>
      </c>
      <c r="BC19" s="48">
        <f t="shared" si="5"/>
        <v>0</v>
      </c>
      <c r="BD19" s="48">
        <f t="shared" si="5"/>
        <v>0</v>
      </c>
      <c r="BE19" s="48">
        <f t="shared" si="5"/>
        <v>0</v>
      </c>
      <c r="BF19" s="48">
        <f t="shared" si="5"/>
        <v>0</v>
      </c>
      <c r="BG19" s="48">
        <f t="shared" si="5"/>
        <v>0</v>
      </c>
      <c r="BH19" s="48">
        <f t="shared" si="5"/>
        <v>0</v>
      </c>
      <c r="BI19" s="48">
        <f t="shared" si="5"/>
        <v>0</v>
      </c>
      <c r="BJ19" s="48">
        <f t="shared" si="5"/>
        <v>0</v>
      </c>
      <c r="BK19" s="48">
        <f t="shared" si="5"/>
        <v>0</v>
      </c>
      <c r="BL19" s="48">
        <f t="shared" si="5"/>
        <v>0</v>
      </c>
      <c r="BM19" s="48">
        <f t="shared" si="5"/>
        <v>0</v>
      </c>
      <c r="BN19" s="48">
        <f t="shared" si="5"/>
        <v>0</v>
      </c>
      <c r="BO19" s="48">
        <f t="shared" si="5"/>
        <v>0</v>
      </c>
      <c r="BP19" s="48">
        <f t="shared" ref="BP19:CO19" si="6">SUM(BP15:BP18)</f>
        <v>0</v>
      </c>
      <c r="BQ19" s="48">
        <f t="shared" si="6"/>
        <v>0</v>
      </c>
      <c r="BR19" s="48">
        <f t="shared" si="6"/>
        <v>0</v>
      </c>
      <c r="BS19" s="48">
        <f t="shared" si="6"/>
        <v>0</v>
      </c>
      <c r="BT19" s="48">
        <f t="shared" si="6"/>
        <v>0</v>
      </c>
      <c r="BU19" s="48">
        <f t="shared" si="6"/>
        <v>0</v>
      </c>
      <c r="BV19" s="48">
        <f t="shared" si="6"/>
        <v>0</v>
      </c>
      <c r="BW19" s="48">
        <f t="shared" si="6"/>
        <v>0</v>
      </c>
      <c r="BX19" s="48">
        <f t="shared" si="6"/>
        <v>0</v>
      </c>
      <c r="BY19" s="48">
        <f t="shared" si="6"/>
        <v>0</v>
      </c>
      <c r="BZ19" s="48">
        <f t="shared" si="6"/>
        <v>0</v>
      </c>
      <c r="CA19" s="48">
        <f t="shared" si="6"/>
        <v>0</v>
      </c>
      <c r="CB19" s="48">
        <f t="shared" si="6"/>
        <v>0</v>
      </c>
      <c r="CC19" s="48">
        <f t="shared" si="6"/>
        <v>0</v>
      </c>
      <c r="CD19" s="48">
        <f t="shared" si="6"/>
        <v>0</v>
      </c>
      <c r="CE19" s="48">
        <f t="shared" si="6"/>
        <v>0</v>
      </c>
      <c r="CF19" s="48">
        <f t="shared" si="6"/>
        <v>0</v>
      </c>
      <c r="CG19" s="48">
        <f t="shared" si="6"/>
        <v>0</v>
      </c>
      <c r="CH19" s="48">
        <f t="shared" si="6"/>
        <v>0</v>
      </c>
      <c r="CI19" s="48">
        <f t="shared" si="6"/>
        <v>0</v>
      </c>
      <c r="CJ19" s="48">
        <f t="shared" si="6"/>
        <v>0</v>
      </c>
      <c r="CK19" s="48">
        <f t="shared" si="6"/>
        <v>0</v>
      </c>
      <c r="CL19" s="48">
        <f t="shared" si="6"/>
        <v>0</v>
      </c>
      <c r="CM19" s="48">
        <f t="shared" si="6"/>
        <v>0</v>
      </c>
      <c r="CN19" s="48">
        <f t="shared" si="6"/>
        <v>0</v>
      </c>
      <c r="CO19" s="48">
        <f t="shared" si="6"/>
        <v>0</v>
      </c>
      <c r="CP19" s="24">
        <f t="shared" si="2"/>
        <v>15</v>
      </c>
    </row>
    <row r="20" spans="1:94" ht="31.5" x14ac:dyDescent="0.5">
      <c r="A20" s="61" t="s">
        <v>68</v>
      </c>
      <c r="B20" s="47" t="s">
        <v>69</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v>3</v>
      </c>
      <c r="AE20" s="3">
        <v>5</v>
      </c>
      <c r="AF20" s="3">
        <v>3</v>
      </c>
      <c r="AG20" s="3">
        <v>4</v>
      </c>
      <c r="AH20" s="3">
        <v>3</v>
      </c>
      <c r="AI20" s="3">
        <v>4</v>
      </c>
      <c r="AJ20" s="3">
        <v>2</v>
      </c>
      <c r="AK20" s="3">
        <v>3</v>
      </c>
      <c r="AL20" s="3">
        <v>2</v>
      </c>
      <c r="AM20" s="3">
        <v>3</v>
      </c>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24">
        <f t="shared" si="2"/>
        <v>32</v>
      </c>
    </row>
    <row r="21" spans="1:94" ht="31.5" x14ac:dyDescent="0.5">
      <c r="A21" s="61"/>
      <c r="B21" s="47" t="s">
        <v>80</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v>2</v>
      </c>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24">
        <f t="shared" si="2"/>
        <v>2</v>
      </c>
    </row>
    <row r="22" spans="1:94" ht="31.5" x14ac:dyDescent="0.5">
      <c r="A22" s="61"/>
      <c r="B22" s="47" t="s">
        <v>79</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v>3</v>
      </c>
      <c r="AO22" s="3">
        <v>3</v>
      </c>
      <c r="AP22" s="3">
        <v>3</v>
      </c>
      <c r="AQ22" s="3">
        <v>6</v>
      </c>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24"/>
    </row>
    <row r="23" spans="1:94" x14ac:dyDescent="0.5">
      <c r="A23" s="61"/>
      <c r="B23" s="4" t="s">
        <v>63</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24">
        <f t="shared" si="2"/>
        <v>0</v>
      </c>
    </row>
    <row r="24" spans="1:94" x14ac:dyDescent="0.5">
      <c r="A24" s="61"/>
      <c r="B24" s="25" t="s">
        <v>64</v>
      </c>
      <c r="C24" s="48">
        <f>SUM(C20:C23)</f>
        <v>0</v>
      </c>
      <c r="D24" s="48">
        <f t="shared" ref="D24:BO24" si="7">SUM(D20:D23)</f>
        <v>0</v>
      </c>
      <c r="E24" s="48">
        <f t="shared" si="7"/>
        <v>0</v>
      </c>
      <c r="F24" s="48">
        <f t="shared" si="7"/>
        <v>0</v>
      </c>
      <c r="G24" s="48">
        <f t="shared" si="7"/>
        <v>0</v>
      </c>
      <c r="H24" s="48">
        <f t="shared" si="7"/>
        <v>0</v>
      </c>
      <c r="I24" s="48">
        <f t="shared" si="7"/>
        <v>0</v>
      </c>
      <c r="J24" s="48">
        <f t="shared" si="7"/>
        <v>0</v>
      </c>
      <c r="K24" s="48">
        <f t="shared" si="7"/>
        <v>0</v>
      </c>
      <c r="L24" s="48">
        <f t="shared" si="7"/>
        <v>0</v>
      </c>
      <c r="M24" s="48">
        <f t="shared" si="7"/>
        <v>0</v>
      </c>
      <c r="N24" s="48">
        <f t="shared" si="7"/>
        <v>0</v>
      </c>
      <c r="O24" s="48">
        <f t="shared" si="7"/>
        <v>0</v>
      </c>
      <c r="P24" s="48">
        <f t="shared" si="7"/>
        <v>0</v>
      </c>
      <c r="Q24" s="48">
        <f t="shared" si="7"/>
        <v>0</v>
      </c>
      <c r="R24" s="48">
        <f t="shared" si="7"/>
        <v>0</v>
      </c>
      <c r="S24" s="48">
        <f t="shared" si="7"/>
        <v>0</v>
      </c>
      <c r="T24" s="48">
        <f t="shared" si="7"/>
        <v>0</v>
      </c>
      <c r="U24" s="48">
        <f t="shared" si="7"/>
        <v>0</v>
      </c>
      <c r="V24" s="48">
        <f t="shared" si="7"/>
        <v>0</v>
      </c>
      <c r="W24" s="48">
        <f t="shared" si="7"/>
        <v>0</v>
      </c>
      <c r="X24" s="48">
        <f t="shared" si="7"/>
        <v>0</v>
      </c>
      <c r="Y24" s="48">
        <f t="shared" si="7"/>
        <v>0</v>
      </c>
      <c r="Z24" s="48">
        <f t="shared" si="7"/>
        <v>0</v>
      </c>
      <c r="AA24" s="48">
        <f t="shared" si="7"/>
        <v>0</v>
      </c>
      <c r="AB24" s="48">
        <f t="shared" si="7"/>
        <v>0</v>
      </c>
      <c r="AC24" s="48">
        <f t="shared" si="7"/>
        <v>0</v>
      </c>
      <c r="AD24" s="48">
        <f t="shared" si="7"/>
        <v>3</v>
      </c>
      <c r="AE24" s="48">
        <f t="shared" si="7"/>
        <v>5</v>
      </c>
      <c r="AF24" s="48">
        <f t="shared" si="7"/>
        <v>3</v>
      </c>
      <c r="AG24" s="48">
        <f t="shared" si="7"/>
        <v>4</v>
      </c>
      <c r="AH24" s="48">
        <f t="shared" si="7"/>
        <v>3</v>
      </c>
      <c r="AI24" s="48">
        <f t="shared" si="7"/>
        <v>4</v>
      </c>
      <c r="AJ24" s="48">
        <f t="shared" si="7"/>
        <v>2</v>
      </c>
      <c r="AK24" s="48">
        <f t="shared" si="7"/>
        <v>3</v>
      </c>
      <c r="AL24" s="48">
        <f t="shared" si="7"/>
        <v>2</v>
      </c>
      <c r="AM24" s="48">
        <f t="shared" si="7"/>
        <v>3</v>
      </c>
      <c r="AN24" s="48">
        <f t="shared" si="7"/>
        <v>3</v>
      </c>
      <c r="AO24" s="48">
        <f t="shared" si="7"/>
        <v>3</v>
      </c>
      <c r="AP24" s="48">
        <f t="shared" si="7"/>
        <v>3</v>
      </c>
      <c r="AQ24" s="48">
        <f t="shared" si="7"/>
        <v>6</v>
      </c>
      <c r="AR24" s="48">
        <f t="shared" si="7"/>
        <v>2</v>
      </c>
      <c r="AS24" s="48">
        <f t="shared" si="7"/>
        <v>0</v>
      </c>
      <c r="AT24" s="48">
        <f t="shared" si="7"/>
        <v>0</v>
      </c>
      <c r="AU24" s="48">
        <f t="shared" si="7"/>
        <v>0</v>
      </c>
      <c r="AV24" s="48">
        <f t="shared" si="7"/>
        <v>0</v>
      </c>
      <c r="AW24" s="48">
        <f t="shared" si="7"/>
        <v>0</v>
      </c>
      <c r="AX24" s="48">
        <f t="shared" si="7"/>
        <v>0</v>
      </c>
      <c r="AY24" s="48">
        <f t="shared" si="7"/>
        <v>0</v>
      </c>
      <c r="AZ24" s="48">
        <f t="shared" si="7"/>
        <v>0</v>
      </c>
      <c r="BA24" s="48">
        <f t="shared" si="7"/>
        <v>0</v>
      </c>
      <c r="BB24" s="48">
        <f t="shared" si="7"/>
        <v>0</v>
      </c>
      <c r="BC24" s="48">
        <f t="shared" si="7"/>
        <v>0</v>
      </c>
      <c r="BD24" s="48">
        <f t="shared" si="7"/>
        <v>0</v>
      </c>
      <c r="BE24" s="48">
        <f t="shared" si="7"/>
        <v>0</v>
      </c>
      <c r="BF24" s="48">
        <f t="shared" si="7"/>
        <v>0</v>
      </c>
      <c r="BG24" s="48">
        <f t="shared" si="7"/>
        <v>0</v>
      </c>
      <c r="BH24" s="48">
        <f t="shared" si="7"/>
        <v>0</v>
      </c>
      <c r="BI24" s="48">
        <f t="shared" si="7"/>
        <v>0</v>
      </c>
      <c r="BJ24" s="48">
        <f t="shared" si="7"/>
        <v>0</v>
      </c>
      <c r="BK24" s="48">
        <f t="shared" si="7"/>
        <v>0</v>
      </c>
      <c r="BL24" s="48">
        <f t="shared" si="7"/>
        <v>0</v>
      </c>
      <c r="BM24" s="48">
        <f t="shared" si="7"/>
        <v>0</v>
      </c>
      <c r="BN24" s="48">
        <f t="shared" si="7"/>
        <v>0</v>
      </c>
      <c r="BO24" s="48">
        <f t="shared" si="7"/>
        <v>0</v>
      </c>
      <c r="BP24" s="48">
        <f t="shared" ref="BP24:CO24" si="8">SUM(BP20:BP23)</f>
        <v>0</v>
      </c>
      <c r="BQ24" s="48">
        <f t="shared" si="8"/>
        <v>0</v>
      </c>
      <c r="BR24" s="48">
        <f t="shared" si="8"/>
        <v>0</v>
      </c>
      <c r="BS24" s="48">
        <f t="shared" si="8"/>
        <v>0</v>
      </c>
      <c r="BT24" s="48">
        <f t="shared" si="8"/>
        <v>0</v>
      </c>
      <c r="BU24" s="48">
        <f t="shared" si="8"/>
        <v>0</v>
      </c>
      <c r="BV24" s="48">
        <f t="shared" si="8"/>
        <v>0</v>
      </c>
      <c r="BW24" s="48">
        <f t="shared" si="8"/>
        <v>0</v>
      </c>
      <c r="BX24" s="48">
        <f t="shared" si="8"/>
        <v>0</v>
      </c>
      <c r="BY24" s="48">
        <f t="shared" si="8"/>
        <v>0</v>
      </c>
      <c r="BZ24" s="48">
        <f t="shared" si="8"/>
        <v>0</v>
      </c>
      <c r="CA24" s="48">
        <f t="shared" si="8"/>
        <v>0</v>
      </c>
      <c r="CB24" s="48">
        <f t="shared" si="8"/>
        <v>0</v>
      </c>
      <c r="CC24" s="48">
        <f t="shared" si="8"/>
        <v>0</v>
      </c>
      <c r="CD24" s="48">
        <f t="shared" si="8"/>
        <v>0</v>
      </c>
      <c r="CE24" s="48">
        <f t="shared" si="8"/>
        <v>0</v>
      </c>
      <c r="CF24" s="48">
        <f t="shared" si="8"/>
        <v>0</v>
      </c>
      <c r="CG24" s="48">
        <f t="shared" si="8"/>
        <v>0</v>
      </c>
      <c r="CH24" s="48">
        <f t="shared" si="8"/>
        <v>0</v>
      </c>
      <c r="CI24" s="48">
        <f t="shared" si="8"/>
        <v>0</v>
      </c>
      <c r="CJ24" s="48">
        <f t="shared" si="8"/>
        <v>0</v>
      </c>
      <c r="CK24" s="48">
        <f t="shared" si="8"/>
        <v>0</v>
      </c>
      <c r="CL24" s="48">
        <f t="shared" si="8"/>
        <v>0</v>
      </c>
      <c r="CM24" s="48">
        <f t="shared" si="8"/>
        <v>0</v>
      </c>
      <c r="CN24" s="48">
        <f t="shared" si="8"/>
        <v>0</v>
      </c>
      <c r="CO24" s="48">
        <f t="shared" si="8"/>
        <v>0</v>
      </c>
      <c r="CP24" s="24">
        <f t="shared" si="2"/>
        <v>49</v>
      </c>
    </row>
    <row r="25" spans="1:94" x14ac:dyDescent="0.5">
      <c r="A25" s="24" t="s">
        <v>55</v>
      </c>
      <c r="B25" s="24"/>
      <c r="C25" s="48">
        <f>C14+C19+C24</f>
        <v>1</v>
      </c>
      <c r="D25" s="48">
        <f t="shared" ref="D25:BO25" si="9">D14+D19+D24</f>
        <v>1</v>
      </c>
      <c r="E25" s="48">
        <f t="shared" si="9"/>
        <v>2</v>
      </c>
      <c r="F25" s="48">
        <f t="shared" si="9"/>
        <v>0</v>
      </c>
      <c r="G25" s="48">
        <f t="shared" si="9"/>
        <v>2</v>
      </c>
      <c r="H25" s="48">
        <f t="shared" si="9"/>
        <v>2</v>
      </c>
      <c r="I25" s="48">
        <f t="shared" si="9"/>
        <v>0</v>
      </c>
      <c r="J25" s="48">
        <f t="shared" si="9"/>
        <v>2</v>
      </c>
      <c r="K25" s="48">
        <f t="shared" si="9"/>
        <v>2</v>
      </c>
      <c r="L25" s="48">
        <f t="shared" si="9"/>
        <v>2</v>
      </c>
      <c r="M25" s="48">
        <f t="shared" si="9"/>
        <v>2</v>
      </c>
      <c r="N25" s="48">
        <f t="shared" si="9"/>
        <v>1</v>
      </c>
      <c r="O25" s="48">
        <f t="shared" si="9"/>
        <v>0</v>
      </c>
      <c r="P25" s="48">
        <f t="shared" si="9"/>
        <v>0</v>
      </c>
      <c r="Q25" s="48">
        <f t="shared" si="9"/>
        <v>2</v>
      </c>
      <c r="R25" s="48">
        <f t="shared" si="9"/>
        <v>1</v>
      </c>
      <c r="S25" s="48">
        <f t="shared" si="9"/>
        <v>0</v>
      </c>
      <c r="T25" s="48">
        <f t="shared" si="9"/>
        <v>2</v>
      </c>
      <c r="U25" s="48">
        <f t="shared" si="9"/>
        <v>1</v>
      </c>
      <c r="V25" s="48">
        <f t="shared" si="9"/>
        <v>0</v>
      </c>
      <c r="W25" s="48">
        <f t="shared" si="9"/>
        <v>0</v>
      </c>
      <c r="X25" s="48">
        <f t="shared" si="9"/>
        <v>0</v>
      </c>
      <c r="Y25" s="48">
        <f t="shared" si="9"/>
        <v>0</v>
      </c>
      <c r="Z25" s="48">
        <f t="shared" si="9"/>
        <v>0</v>
      </c>
      <c r="AA25" s="48">
        <f t="shared" si="9"/>
        <v>0</v>
      </c>
      <c r="AB25" s="48">
        <f t="shared" si="9"/>
        <v>0</v>
      </c>
      <c r="AC25" s="48">
        <f t="shared" si="9"/>
        <v>0</v>
      </c>
      <c r="AD25" s="48">
        <f t="shared" si="9"/>
        <v>3</v>
      </c>
      <c r="AE25" s="48">
        <f t="shared" si="9"/>
        <v>5</v>
      </c>
      <c r="AF25" s="48">
        <f t="shared" si="9"/>
        <v>3</v>
      </c>
      <c r="AG25" s="48">
        <f t="shared" si="9"/>
        <v>4</v>
      </c>
      <c r="AH25" s="48">
        <f t="shared" si="9"/>
        <v>3</v>
      </c>
      <c r="AI25" s="48">
        <f t="shared" si="9"/>
        <v>4</v>
      </c>
      <c r="AJ25" s="48">
        <f t="shared" si="9"/>
        <v>2</v>
      </c>
      <c r="AK25" s="48">
        <f t="shared" si="9"/>
        <v>3</v>
      </c>
      <c r="AL25" s="48">
        <f t="shared" si="9"/>
        <v>2</v>
      </c>
      <c r="AM25" s="48">
        <f t="shared" si="9"/>
        <v>3</v>
      </c>
      <c r="AN25" s="48">
        <f t="shared" si="9"/>
        <v>3</v>
      </c>
      <c r="AO25" s="48">
        <f t="shared" si="9"/>
        <v>3</v>
      </c>
      <c r="AP25" s="48">
        <f t="shared" si="9"/>
        <v>3</v>
      </c>
      <c r="AQ25" s="48">
        <f t="shared" si="9"/>
        <v>6</v>
      </c>
      <c r="AR25" s="48">
        <f t="shared" si="9"/>
        <v>2</v>
      </c>
      <c r="AS25" s="48">
        <f t="shared" si="9"/>
        <v>0</v>
      </c>
      <c r="AT25" s="48">
        <f t="shared" si="9"/>
        <v>0</v>
      </c>
      <c r="AU25" s="48">
        <f t="shared" si="9"/>
        <v>0</v>
      </c>
      <c r="AV25" s="48">
        <f t="shared" si="9"/>
        <v>0</v>
      </c>
      <c r="AW25" s="48">
        <f t="shared" si="9"/>
        <v>0</v>
      </c>
      <c r="AX25" s="48">
        <f t="shared" si="9"/>
        <v>0</v>
      </c>
      <c r="AY25" s="48">
        <f t="shared" si="9"/>
        <v>0</v>
      </c>
      <c r="AZ25" s="48">
        <f t="shared" si="9"/>
        <v>0</v>
      </c>
      <c r="BA25" s="48">
        <f t="shared" si="9"/>
        <v>0</v>
      </c>
      <c r="BB25" s="48">
        <f t="shared" si="9"/>
        <v>0</v>
      </c>
      <c r="BC25" s="48">
        <f t="shared" si="9"/>
        <v>0</v>
      </c>
      <c r="BD25" s="48">
        <f t="shared" si="9"/>
        <v>0</v>
      </c>
      <c r="BE25" s="48">
        <f t="shared" si="9"/>
        <v>0</v>
      </c>
      <c r="BF25" s="48">
        <f t="shared" si="9"/>
        <v>0</v>
      </c>
      <c r="BG25" s="48">
        <f t="shared" si="9"/>
        <v>0</v>
      </c>
      <c r="BH25" s="48">
        <f t="shared" si="9"/>
        <v>0</v>
      </c>
      <c r="BI25" s="48">
        <f t="shared" si="9"/>
        <v>0</v>
      </c>
      <c r="BJ25" s="48">
        <f t="shared" si="9"/>
        <v>0</v>
      </c>
      <c r="BK25" s="48">
        <f t="shared" si="9"/>
        <v>0</v>
      </c>
      <c r="BL25" s="48">
        <f t="shared" si="9"/>
        <v>0</v>
      </c>
      <c r="BM25" s="48">
        <f t="shared" si="9"/>
        <v>0</v>
      </c>
      <c r="BN25" s="48">
        <f t="shared" si="9"/>
        <v>0</v>
      </c>
      <c r="BO25" s="48">
        <f t="shared" si="9"/>
        <v>0</v>
      </c>
      <c r="BP25" s="48">
        <f t="shared" ref="BP25:CO25" si="10">BP14+BP19+BP24</f>
        <v>0</v>
      </c>
      <c r="BQ25" s="48">
        <f t="shared" si="10"/>
        <v>0</v>
      </c>
      <c r="BR25" s="48">
        <f t="shared" si="10"/>
        <v>0</v>
      </c>
      <c r="BS25" s="48">
        <f t="shared" si="10"/>
        <v>0</v>
      </c>
      <c r="BT25" s="48">
        <f t="shared" si="10"/>
        <v>0</v>
      </c>
      <c r="BU25" s="48">
        <f t="shared" si="10"/>
        <v>0</v>
      </c>
      <c r="BV25" s="48">
        <f t="shared" si="10"/>
        <v>0</v>
      </c>
      <c r="BW25" s="48">
        <f t="shared" si="10"/>
        <v>0</v>
      </c>
      <c r="BX25" s="48">
        <f t="shared" si="10"/>
        <v>0</v>
      </c>
      <c r="BY25" s="48">
        <f t="shared" si="10"/>
        <v>0</v>
      </c>
      <c r="BZ25" s="48">
        <f t="shared" si="10"/>
        <v>0</v>
      </c>
      <c r="CA25" s="48">
        <f t="shared" si="10"/>
        <v>0</v>
      </c>
      <c r="CB25" s="48">
        <f t="shared" si="10"/>
        <v>0</v>
      </c>
      <c r="CC25" s="48">
        <f t="shared" si="10"/>
        <v>0</v>
      </c>
      <c r="CD25" s="48">
        <f t="shared" si="10"/>
        <v>0</v>
      </c>
      <c r="CE25" s="48">
        <f t="shared" si="10"/>
        <v>0</v>
      </c>
      <c r="CF25" s="48">
        <f t="shared" si="10"/>
        <v>0</v>
      </c>
      <c r="CG25" s="48">
        <f t="shared" si="10"/>
        <v>0</v>
      </c>
      <c r="CH25" s="48">
        <f t="shared" si="10"/>
        <v>0</v>
      </c>
      <c r="CI25" s="48">
        <f t="shared" si="10"/>
        <v>0</v>
      </c>
      <c r="CJ25" s="48">
        <f t="shared" si="10"/>
        <v>0</v>
      </c>
      <c r="CK25" s="48">
        <f t="shared" si="10"/>
        <v>0</v>
      </c>
      <c r="CL25" s="48">
        <f t="shared" si="10"/>
        <v>0</v>
      </c>
      <c r="CM25" s="48">
        <f t="shared" si="10"/>
        <v>0</v>
      </c>
      <c r="CN25" s="48">
        <f t="shared" si="10"/>
        <v>0</v>
      </c>
      <c r="CO25" s="48">
        <f t="shared" si="10"/>
        <v>0</v>
      </c>
      <c r="CP25" s="24">
        <f t="shared" si="2"/>
        <v>72</v>
      </c>
    </row>
  </sheetData>
  <mergeCells count="3">
    <mergeCell ref="A10:A14"/>
    <mergeCell ref="A15:A19"/>
    <mergeCell ref="A20:A24"/>
  </mergeCells>
  <pageMargins left="0.7" right="0.7" top="0.75" bottom="0.75" header="0.3" footer="0.3"/>
  <pageSetup paperSize="9" orientation="portrait" horizontalDpi="4294967292" verticalDpi="12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d87d99373e30101429b09124c195fdbc">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9aa56a4d80a6e7d45ef31e07566fe6d2"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SharedWithUsers xmlns="7cf18b58-3901-44ff-9636-ac55513c4f63">
      <UserInfo>
        <DisplayName/>
        <AccountId xsi:nil="true"/>
        <AccountType/>
      </UserInfo>
    </SharedWithUsers>
  </documentManagement>
</p:properties>
</file>

<file path=customXml/itemProps1.xml><?xml version="1.0" encoding="utf-8"?>
<ds:datastoreItem xmlns:ds="http://schemas.openxmlformats.org/officeDocument/2006/customXml" ds:itemID="{967070A4-E2CD-429B-8D78-5F9F7FC4B9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CAE355-489D-4D00-9C8B-00B8220779E5}">
  <ds:schemaRefs>
    <ds:schemaRef ds:uri="http://schemas.microsoft.com/sharepoint/v3/contenttype/forms"/>
  </ds:schemaRefs>
</ds:datastoreItem>
</file>

<file path=customXml/itemProps3.xml><?xml version="1.0" encoding="utf-8"?>
<ds:datastoreItem xmlns:ds="http://schemas.openxmlformats.org/officeDocument/2006/customXml" ds:itemID="{29EB8BBB-69D2-474D-985C-94061255A9FF}">
  <ds:schemaRefs>
    <ds:schemaRef ds:uri="http://schemas.microsoft.com/office/2006/metadata/properties"/>
    <ds:schemaRef ds:uri="http://schemas.microsoft.com/office/infopath/2007/PartnerControls"/>
    <ds:schemaRef ds:uri="ce320b12-d590-4005-9d51-304c9b20c4b2"/>
    <ds:schemaRef ds:uri="7cf18b58-3901-44ff-9636-ac55513c4f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Challenges &amp; Goals</vt:lpstr>
      <vt:lpstr>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Chetan Katkar</cp:lastModifiedBy>
  <cp:revision/>
  <dcterms:created xsi:type="dcterms:W3CDTF">2022-08-27T07:10:03Z</dcterms:created>
  <dcterms:modified xsi:type="dcterms:W3CDTF">2026-06-26T06:55:36Z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